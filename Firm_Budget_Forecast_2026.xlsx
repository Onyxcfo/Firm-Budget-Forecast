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Bill Rates" sheetId="1" state="visible" r:id="rId3"/>
    <sheet name="Assumptions" sheetId="2" state="visible" r:id="rId4"/>
    <sheet name="Staff P&amp;L" sheetId="3" state="visible" r:id="rId5"/>
    <sheet name="Benefits" sheetId="4" state="visible" r:id="rId6"/>
    <sheet name="Monthly Capacity" sheetId="5" state="visible" r:id="rId7"/>
    <sheet name="Growth &amp; Hiring" sheetId="6" state="visible" r:id="rId8"/>
    <sheet name="Budget P&amp;L" sheetId="7" state="visible" r:id="rId9"/>
    <sheet name="Forecast 2026" sheetId="8" state="visible" r:id="rId10"/>
    <sheet name="Owner Earnings" sheetId="9" state="visible" r:id="rId11"/>
    <sheet name="Guide" sheetId="10" state="visible" r:id="rId12"/>
  </sheets>
  <definedNames>
    <definedName function="false" hidden="false" localSheetId="6" name="_xlnm.Print_Titles" vbProcedure="false">'Budget P&amp;L'!$A:$A</definedName>
    <definedName function="false" hidden="false" localSheetId="7" name="_xlnm.Print_Titles" vbProcedure="false">'Forecast 2026'!$A:$A</definedName>
    <definedName function="false" hidden="false" localSheetId="5" name="_xlnm.Print_Titles" vbProcedure="false">'Growth &amp; Hiring'!$A:$A</definedName>
    <definedName function="false" hidden="false" localSheetId="4" name="_xlnm.Print_Titles" vbProcedure="false">'Monthly Capacity'!$A:$A</definedName>
    <definedName function="false" hidden="false" localSheetId="2" name="_xlnm.Print_Titles" vbProcedure="false">'Staff P&amp;L'!$A:$A</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59" authorId="0">
      <text>
        <r>
          <rPr>
            <sz val="10"/>
            <rFont val="Arial"/>
            <family val="2"/>
          </rPr>
          <t xml:space="preserve">This client is active but missing from the 2026 rate card, so it is excluded from every average until you enter rates.</t>
        </r>
      </text>
    </comment>
    <comment ref="C60" authorId="0">
      <text>
        <r>
          <rPr>
            <sz val="10"/>
            <rFont val="Arial"/>
            <family val="2"/>
          </rPr>
          <t xml:space="preserve">This client is active but missing from the 2026 rate card, so it is excluded from every average until you enter rates.</t>
        </r>
      </text>
    </comment>
    <comment ref="C70" authorId="0">
      <text>
        <r>
          <rPr>
            <sz val="10"/>
            <rFont val="Arial"/>
            <family val="2"/>
          </rPr>
          <t xml:space="preserve">Which reality to calibrate the rate card against.
1  the standard value of logged time (Harvest rates)
2  actual cash collected per billable hour — the better basis for a revenue forecast, because fixed-fee work collects above time value
3  leave the rate card alone
Basis 2 is the default. It says the card is only slightly optimistic, not badly so.</t>
        </r>
      </text>
    </comment>
    <comment ref="C71" authorId="0">
      <text>
        <r>
          <rPr>
            <sz val="10"/>
            <rFont val="Arial"/>
            <family val="2"/>
          </rPr>
          <t xml:space="preserve">Which reality to calibrate the rate card against.
1  standard value of logged time (Harvest rates) — $148.76/hr in July
2  actual cash collected per billable hour — $156.42/hr. Better for a revenue forecast, because fixed-fee work collects above the standard value of the time.
3  leave the rate card alone.
Basis 2 says the card is only slightly optimistic, not badly so.</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15" authorId="0">
      <text>
        <r>
          <rPr>
            <sz val="10"/>
            <rFont val="Arial"/>
            <family val="2"/>
          </rPr>
          <t xml:space="preserve">The firm-wide default. Each person on Monthly Capacity links to this until you type a custom number over their cell in column T.
July Harvest actuals imply about 66% firm-wide including admin time, or 75% excluding time off.</t>
        </r>
      </text>
    </comment>
    <comment ref="B16" authorId="0">
      <text>
        <r>
          <rPr>
            <sz val="10"/>
            <rFont val="Arial"/>
            <family val="2"/>
          </rPr>
          <t xml:space="preserve">Now driven by the real 2026 calendar: 261 weekdays × 8 = 2,088 paid hours.
Previously a flat 1,920 (40 × 4 × 12), which understated the year by ~4 weeks.</t>
        </r>
      </text>
    </comment>
    <comment ref="B36" authorId="0">
      <text>
        <r>
          <rPr>
            <sz val="10"/>
            <rFont val="Arial"/>
            <family val="2"/>
          </rPr>
          <t xml:space="preserve">1  simple average of the rate card (every client counts once)
2  weighted by July billable hours
3  card scaled by the realization factor so the model matches the revenue per hour actually billed in July
Method 3 is the default because it reconciles the model to actuals.</t>
        </r>
      </text>
    </comment>
    <comment ref="B38" authorId="0">
      <text>
        <r>
          <rPr>
            <sz val="10"/>
            <rFont val="Arial"/>
            <family val="2"/>
          </rPr>
          <t xml:space="preserve">1  Steven bills a fixed share of his hours, as before.
2  Everyone else's capacity is counted first and Steven's hours become the residual needed to reach the net-income target on the Monthly Capacity tab.
Switch to 2 to answer 'how many hours must I bill?'</t>
        </r>
      </text>
    </comment>
    <comment ref="B40" authorId="0">
      <text>
        <r>
          <rPr>
            <sz val="10"/>
            <rFont val="Arial"/>
            <family val="2"/>
          </rPr>
          <t xml:space="preserve">1 keeps the quarterly factors you type on Staff P&amp;L row 16.
2 replaces them with the factor the operational scorecard earns, applied to the quarters you have switched on.</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5" authorId="0">
      <text>
        <r>
          <rPr>
            <sz val="10"/>
            <rFont val="Arial"/>
            <family val="2"/>
          </rPr>
          <t xml:space="preserve">Only W-2 bonuses hit the payroll lines on the Budget P&amp;L. The contractor's bonus is already inside her fully-loaded cost and reaches the P&amp;L through 'Cost of labor - Contractors'.</t>
        </r>
      </text>
    </comment>
    <comment ref="B18" authorId="0">
      <text>
        <r>
          <rPr>
            <sz val="10"/>
            <rFont val="Arial"/>
            <family val="2"/>
          </rPr>
          <t xml:space="preserve">Target bonus as a percent of that person's annual base compensation.
The owner is excluded by policy, so his target is 0%.</t>
        </r>
      </text>
    </comment>
    <comment ref="B37" authorId="0">
      <text>
        <r>
          <rPr>
            <sz val="10"/>
            <rFont val="Arial"/>
            <family val="2"/>
          </rPr>
          <t xml:space="preserve">'higher' means a bigger number is better; 'lower' means smaller is better. For a 'lower' KPI enter the thresholds descending (45 / 30 / 20) — the formula reads the direction from the numbers themselves.</t>
        </r>
      </text>
    </comment>
    <comment ref="D6" authorId="0">
      <text>
        <r>
          <rPr>
            <sz val="10"/>
            <rFont val="Arial"/>
            <family val="2"/>
          </rPr>
          <t xml:space="preserve">Owner salary = SS max (Assumptions). 50% client / 50% admin.</t>
        </r>
      </text>
    </comment>
    <comment ref="D7" authorId="0">
      <text>
        <r>
          <rPr>
            <sz val="10"/>
            <rFont val="Arial"/>
            <family val="2"/>
          </rPr>
          <t xml:space="preserve">Cost Sheet: $176,000/yr.</t>
        </r>
      </text>
    </comment>
    <comment ref="D8" authorId="0">
      <text>
        <r>
          <rPr>
            <sz val="10"/>
            <rFont val="Arial"/>
            <family val="2"/>
          </rPr>
          <t xml:space="preserve">Cost Sheet: $60/hr. Annual comp = rate x 2,088 paid hrs (Assumptions!B16, from the 2026 calendar).</t>
        </r>
      </text>
    </comment>
    <comment ref="D9" authorId="0">
      <text>
        <r>
          <rPr>
            <sz val="10"/>
            <rFont val="Arial"/>
            <family val="2"/>
          </rPr>
          <t xml:space="preserve">Raised from $35 to $40/hr. Annual comp = rate x 2,088 paid hrs (Assumptions!B16, from the 2026 calendar).</t>
        </r>
      </text>
    </comment>
    <comment ref="D10" authorId="0">
      <text>
        <r>
          <rPr>
            <sz val="10"/>
            <rFont val="Arial"/>
            <family val="2"/>
          </rPr>
          <t xml:space="preserve">Bulgaria contractor, $4,200/mo all-in. No US payroll tax and no PEO benefits, so those columns are zero.</t>
        </r>
      </text>
    </comment>
    <comment ref="D11" authorId="0">
      <text>
        <r>
          <rPr>
            <sz val="10"/>
            <rFont val="Arial"/>
            <family val="2"/>
          </rPr>
          <t xml:space="preserve">Cost Sheet: $80,000/yr admin. COGS alloc % = her billable share (adjust).</t>
        </r>
      </text>
    </comment>
    <comment ref="D16" authorId="0">
      <text>
        <r>
          <rPr>
            <sz val="10"/>
            <rFont val="Arial"/>
            <family val="2"/>
          </rPr>
          <t xml:space="preserve">Set each quarter independently. 100% pays the target bonus, 0% pays none.
This is what makes the plan discretionary.</t>
        </r>
      </text>
    </comment>
    <comment ref="D19" authorId="0">
      <text>
        <r>
          <rPr>
            <sz val="10"/>
            <rFont val="Arial"/>
            <family val="2"/>
          </rPr>
          <t xml:space="preserve">In scorecard mode the manual factor still decides WHICH quarters pay; the scorecard decides HOW MUCH.</t>
        </r>
      </text>
    </comment>
    <comment ref="F10" authorId="0">
      <text>
        <r>
          <rPr>
            <sz val="10"/>
            <rFont val="Arial"/>
            <family val="2"/>
          </rPr>
          <t xml:space="preserve">Contractor — no US employer payroll tax.</t>
        </r>
      </text>
    </comment>
    <comment ref="G37" authorId="0">
      <text>
        <r>
          <rPr>
            <sz val="10"/>
            <rFont val="Arial"/>
            <family val="2"/>
          </rPr>
          <t xml:space="preserve">0% below threshold, 50% at threshold, 100% at target, 150% at stretch, straight-line in between and capped at 150%.</t>
        </r>
      </text>
    </comment>
    <comment ref="I19" authorId="0">
      <text>
        <r>
          <rPr>
            <sz val="10"/>
            <rFont val="Arial"/>
            <family val="2"/>
          </rPr>
          <t xml:space="preserve">Employer Social Security applies only to the part of the bonus that still fits under the wage base once base pay is counted; Medicare applies to all of it. FUTA and SUTA are already maxed out by base pay.</t>
        </r>
      </text>
    </comment>
    <comment ref="I22" authorId="0">
      <text>
        <r>
          <rPr>
            <sz val="10"/>
            <rFont val="Arial"/>
            <family val="2"/>
          </rPr>
          <t xml:space="preserve">Contractor — no US employer payroll tax on additional payments.</t>
        </r>
      </text>
    </comment>
    <comment ref="K6" authorId="0">
      <text>
        <r>
          <rPr>
            <sz val="10"/>
            <rFont val="Arial"/>
            <family val="2"/>
          </rPr>
          <t xml:space="preserve">Employer medical share plus the 401(k) match, from the Benefits tab. PEO service fees are firm-level and are not loaded per person here.</t>
        </r>
      </text>
    </comment>
    <comment ref="K7" authorId="0">
      <text>
        <r>
          <rPr>
            <sz val="10"/>
            <rFont val="Arial"/>
            <family val="2"/>
          </rPr>
          <t xml:space="preserve">PEO placeholder — replace with insurance + 401(k) quote.</t>
        </r>
      </text>
    </comment>
    <comment ref="K8" authorId="0">
      <text>
        <r>
          <rPr>
            <sz val="10"/>
            <rFont val="Arial"/>
            <family val="2"/>
          </rPr>
          <t xml:space="preserve">PEO placeholder — replace with insurance + 401(k) quote.</t>
        </r>
      </text>
    </comment>
    <comment ref="K9" authorId="0">
      <text>
        <r>
          <rPr>
            <sz val="10"/>
            <rFont val="Arial"/>
            <family val="2"/>
          </rPr>
          <t xml:space="preserve">PEO placeholder — replace with insurance + 401(k) quote.</t>
        </r>
      </text>
    </comment>
    <comment ref="K10" authorId="0">
      <text>
        <r>
          <rPr>
            <sz val="10"/>
            <rFont val="Arial"/>
            <family val="2"/>
          </rPr>
          <t xml:space="preserve">Contractor — benefits in all-in cost.</t>
        </r>
      </text>
    </comment>
    <comment ref="K11" authorId="0">
      <text>
        <r>
          <rPr>
            <sz val="10"/>
            <rFont val="Arial"/>
            <family val="2"/>
          </rPr>
          <t xml:space="preserve">PEO placeholder — replace with insurance + 401(k) quote.</t>
        </r>
      </text>
    </comment>
    <comment ref="M6" authorId="0">
      <text>
        <r>
          <rPr>
            <sz val="10"/>
            <rFont val="Arial"/>
            <family val="2"/>
          </rPr>
          <t xml:space="preserve">Base comp + employer tax + PEO benefits + bonus and its employer tax.</t>
        </r>
      </text>
    </comment>
    <comment ref="T6" authorId="0">
      <text>
        <r>
          <rPr>
            <sz val="10"/>
            <rFont val="Arial"/>
            <family val="2"/>
          </rPr>
          <t xml:space="preserve">Fixed-share mode: the 50% on Assumptions!B29. Residual mode: the share his computed billable hours actually represent, so client work sits in COGS and the rest in operating expenses. Net income is the same either way.</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9" authorId="0">
      <text>
        <r>
          <rPr>
            <sz val="10"/>
            <rFont val="Arial"/>
            <family val="2"/>
          </rPr>
          <t xml:space="preserve">The proposal's '# Electing' counts reveal today's census across plans:
  3000 Primary Advantage CP — Emp+Family: 2
  6500 Primary Advantage CP — Employee Only: 1
  3400 Deductible HDHP — Employee Only: 1, Emp+Spouse: 1
That is 5 enrolled: 2 family, 2 employee-only, 1 employee+spouse.
Who holds which tier is not in the proposal — confirm and correct.</t>
        </r>
      </text>
    </comment>
    <comment ref="C13" authorId="0">
      <text>
        <r>
          <rPr>
            <sz val="10"/>
            <rFont val="Arial"/>
            <family val="2"/>
          </rPr>
          <t xml:space="preserve">Your policy named employee-only (1x), spouse (2x) and family (3x). The two child tiers were not specified, so they default to 2x. Change these if you want a different price for children.</t>
        </r>
      </text>
    </comment>
    <comment ref="F11" authorId="0">
      <text>
        <r>
          <rPr>
            <sz val="10"/>
            <rFont val="Arial"/>
            <family val="2"/>
          </rPr>
          <t xml:space="preserve">Insperity's default client contribution is a flat $509.76 per enrolled employee at EVERY tier, on all 22 plans in the proposal. The report is marked 'No Classing', so no tier-based schedule is configured. Verified: $509.76 x 5 employees x 12 = $30,585.60, the proposal's stated client total.</t>
        </r>
      </text>
    </comment>
    <comment ref="G19" authorId="0">
      <text>
        <r>
          <rPr>
            <sz val="10"/>
            <rFont val="Arial"/>
            <family val="2"/>
          </rPr>
          <t xml:space="preserve">The PEO starts 25 Oct 2026, so only part of the year carries benefits. Column F is the ongoing run-rate; column G spreads that across the whole of 2026 so the annual budget totals are right.
Staff P&amp;L uses column G; the Budget P&amp;L loads the run-rate into the months the PEO is actually live.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7" authorId="0">
      <text>
        <r>
          <rPr>
            <sz val="10"/>
            <rFont val="Arial"/>
            <family val="2"/>
          </rPr>
          <t xml:space="preserve">Shape when PTO is taken. Defaults to 1/12 per month.
Change these to load PTO into summer / December — the row must total 100%.</t>
        </r>
      </text>
    </comment>
    <comment ref="B22" authorId="0">
      <text>
        <r>
          <rPr>
            <sz val="10"/>
            <rFont val="Arial"/>
            <family val="2"/>
          </rPr>
          <t xml:space="preserve">Fixed-share mode uses his billable share in column Q. Residual mode (Assumptions!B38 = 2) takes the hours the net-income target demands, from the block lower down this sheet.</t>
        </r>
      </text>
    </comment>
    <comment ref="C10" authorId="0">
      <text>
        <r>
          <rPr>
            <sz val="10"/>
            <rFont val="Arial"/>
            <family val="2"/>
          </rPr>
          <t xml:space="preserve">2026 company holidays (Onyx Handbook, 7 days):
  2026-01-01  New Year's Day
  2026-05-25  Memorial Day
  2026-07-03  Independence Day
  2026-09-07  Labor Day
  2026-11-26  Thanksgiving Day
  2026-12-24  Christmas Eve
  2026-12-25  Christmas Day
Saturday holidays observed Friday; Sunday observed Monday.</t>
        </r>
      </text>
    </comment>
    <comment ref="P22" authorId="0">
      <text>
        <r>
          <rPr>
            <sz val="10"/>
            <rFont val="Arial"/>
            <family val="2"/>
          </rPr>
          <t xml:space="preserve">Admin hrs/mo: non-billable firm admin deducted before billing.
Steven and Josephine are 0 here because their admin time is already
captured by the Billable share % column (50% and 15%).</t>
        </r>
      </text>
    </comment>
    <comment ref="Q22" authorId="0">
      <text>
        <r>
          <rPr>
            <sz val="10"/>
            <rFont val="Arial"/>
            <family val="2"/>
          </rPr>
          <t xml:space="preserve">Billable share of available hours.
Steven 50% (50% client / 50% admin). Josephine 15% billable.
Everyone else 100% of hours remaining after admin and PTO.</t>
        </r>
      </text>
    </comment>
    <comment ref="T22" authorId="0">
      <text>
        <r>
          <rPr>
            <sz val="10"/>
            <rFont val="Arial"/>
            <family val="2"/>
          </rPr>
          <t xml:space="preserve">Each person's own utilization. It starts as a link to the firm default (Assumptions!B15) — type a number straight over it to make that person custom, and the link is gone for good on that row.</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P15" authorId="0">
      <text>
        <r>
          <rPr>
            <sz val="10"/>
            <rFont val="Arial"/>
            <family val="2"/>
          </rPr>
          <t xml:space="preserve">Loaded at pay + employer Social Security and Medicare. FUTA and AZ SUTA are immaterial on a part-year hire and are left out.</t>
        </r>
      </text>
    </comment>
    <comment ref="Q15" authorId="0">
      <text>
        <r>
          <rPr>
            <sz val="10"/>
            <rFont val="Arial"/>
            <family val="2"/>
          </rPr>
          <t xml:space="preserve">1 = January … 12 = December. Set 0 to switch the hire off entirely.
A hire in month 10 costs three months of 2026 and delivers three months of capacity.</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Capacity revenue from Monthly Capacity plus anything on the Growth &amp; Hiring tab.</t>
        </r>
      </text>
    </comment>
    <comment ref="B17" authorId="0">
      <text>
        <r>
          <rPr>
            <sz val="10"/>
            <rFont val="Arial"/>
            <family val="2"/>
          </rPr>
          <t xml:space="preserve">Salaried staff at annual/12, hourly staff at that month's paid hours x pay rate, plus new-hire cost from the Growth &amp; Hiring tab.</t>
        </r>
      </text>
    </comment>
    <comment ref="B19" authorId="0">
      <text>
        <r>
          <rPr>
            <sz val="10"/>
            <rFont val="Arial"/>
            <family val="2"/>
          </rPr>
          <t xml:space="preserve">Employer medical and 401(k) match for production staff, charged only from the month the PEO goes live (Benefits!B43). Annual total equals the prorated figure on Staff P&amp;L.</t>
        </r>
      </text>
    </comment>
    <comment ref="D15" authorId="0">
      <text>
        <r>
          <rPr>
            <sz val="10"/>
            <rFont val="Arial"/>
            <family val="2"/>
          </rPr>
          <t xml:space="preserve">Quarterly discretionary bonus from the Staff P&amp;L bonus block, paid in March, June, September and December.</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Drives Aug–Dec revenue only. Jan–Jul are actual figures and never move.
Set to 91% to carry the year-to-date run-rate forward.</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E37" authorId="0">
      <text>
        <r>
          <rPr>
            <sz val="10"/>
            <rFont val="Arial"/>
            <family val="2"/>
          </rPr>
          <t xml:space="preserve">Each row is (this rate - the previous rate) applied to all income above this bracket floor. Individually the rows are NOT the tax due in that bracket; they telescope, so only the SUM is meaningful. That sum equals the standard slab calculation.</t>
        </r>
      </text>
    </comment>
  </commentList>
</comments>
</file>

<file path=xl/sharedStrings.xml><?xml version="1.0" encoding="utf-8"?>
<sst xmlns="http://schemas.openxmlformats.org/spreadsheetml/2006/main" count="895" uniqueCount="755">
  <si>
    <t xml:space="preserve">Onyx Accounting Group, LLC</t>
  </si>
  <si>
    <t xml:space="preserve">Average Bill Rates by Client — 2026</t>
  </si>
  <si>
    <t xml:space="preserve">2026 standard rates per client, with July-2026 Harvest actuals alongside. The blend method on the Assumptions tab decides which average drives the model.</t>
  </si>
  <si>
    <t xml:space="preserve">Client Group</t>
  </si>
  <si>
    <t xml:space="preserve">Client / Entity</t>
  </si>
  <si>
    <t xml:space="preserve">CFO</t>
  </si>
  <si>
    <t xml:space="preserve">Controller</t>
  </si>
  <si>
    <t xml:space="preserve">Staff</t>
  </si>
  <si>
    <t xml:space="preserve">Jul-26
billable hrs</t>
  </si>
  <si>
    <t xml:space="preserve">Jul-26
billable $</t>
  </si>
  <si>
    <t xml:space="preserve">Jul-26
effective $/hr</t>
  </si>
  <si>
    <t xml:space="preserve">Mohrschladt Entities</t>
  </si>
  <si>
    <t xml:space="preserve">1402 Victory Lane LLC</t>
  </si>
  <si>
    <t xml:space="preserve">3540 E  Boot Track, LLC</t>
  </si>
  <si>
    <t xml:space="preserve">4530 W. Flint, LLC</t>
  </si>
  <si>
    <t xml:space="preserve">7327 Tierra Buena LLC</t>
  </si>
  <si>
    <t xml:space="preserve">15650 Northsight LLC</t>
  </si>
  <si>
    <t xml:space="preserve">Barrett Living Trust</t>
  </si>
  <si>
    <t xml:space="preserve">Catalpa Industrial Park, Inc.</t>
  </si>
  <si>
    <t xml:space="preserve">Mohrschladt Capital, LP</t>
  </si>
  <si>
    <t xml:space="preserve">no July time — dormant</t>
  </si>
  <si>
    <t xml:space="preserve">Mohrschladt Howarth Associates, Inc.</t>
  </si>
  <si>
    <t xml:space="preserve">NEWPORT CLASSIC CARS LLC</t>
  </si>
  <si>
    <t xml:space="preserve">Obsidian Real Estate</t>
  </si>
  <si>
    <t xml:space="preserve">Paradise Village LLC</t>
  </si>
  <si>
    <t xml:space="preserve">Rancho Industrial Park, Inc.</t>
  </si>
  <si>
    <t xml:space="preserve">Tavasci Entities</t>
  </si>
  <si>
    <t xml:space="preserve">7730 Evans, LLC</t>
  </si>
  <si>
    <t xml:space="preserve">909 Main, LLC</t>
  </si>
  <si>
    <t xml:space="preserve">Capital Financial, LLC</t>
  </si>
  <si>
    <t xml:space="preserve">DQCC</t>
  </si>
  <si>
    <t xml:space="preserve">Educational Services, LLC</t>
  </si>
  <si>
    <t xml:space="preserve">Educational Services Holdings LLC</t>
  </si>
  <si>
    <t xml:space="preserve">KAMM ADGT</t>
  </si>
  <si>
    <t xml:space="preserve">Tavasci Personal</t>
  </si>
  <si>
    <t xml:space="preserve">Edcuational Services Intermediate, LLC</t>
  </si>
  <si>
    <t xml:space="preserve">International Alliance Group LLC</t>
  </si>
  <si>
    <t xml:space="preserve">Little Moo's</t>
  </si>
  <si>
    <t xml:space="preserve">T5 Family Holdings, LLC</t>
  </si>
  <si>
    <t xml:space="preserve">Tavasci Brothers Motorsports</t>
  </si>
  <si>
    <t xml:space="preserve">TSCC54, LLC</t>
  </si>
  <si>
    <t xml:space="preserve">VVI 1017</t>
  </si>
  <si>
    <t xml:space="preserve">VVNS</t>
  </si>
  <si>
    <t xml:space="preserve">BeckShar</t>
  </si>
  <si>
    <t xml:space="preserve">BeckShar Development</t>
  </si>
  <si>
    <t xml:space="preserve">BeckShar LLC</t>
  </si>
  <si>
    <t xml:space="preserve">BeckShar Diamond Commercial</t>
  </si>
  <si>
    <t xml:space="preserve">BSD Contracting LLC</t>
  </si>
  <si>
    <t xml:space="preserve">Midwest</t>
  </si>
  <si>
    <t xml:space="preserve">Midwest Contracting, Inc</t>
  </si>
  <si>
    <t xml:space="preserve">Eight Eleven</t>
  </si>
  <si>
    <t xml:space="preserve">Southwest Rentals</t>
  </si>
  <si>
    <t xml:space="preserve">Individual Clients</t>
  </si>
  <si>
    <t xml:space="preserve">1915 NORTH 16TH STREET, LLC</t>
  </si>
  <si>
    <t xml:space="preserve">Amerisource</t>
  </si>
  <si>
    <t xml:space="preserve">Bjerk Builders</t>
  </si>
  <si>
    <t xml:space="preserve">Broadcast Rentals</t>
  </si>
  <si>
    <t xml:space="preserve">Emmi D SalonSpa, LLC.</t>
  </si>
  <si>
    <t xml:space="preserve">Foothills Reserve</t>
  </si>
  <si>
    <t xml:space="preserve">Fountain Hills Golf Carts</t>
  </si>
  <si>
    <t xml:space="preserve">GAV Enterprises, Inc</t>
  </si>
  <si>
    <t xml:space="preserve">Kartes Leasing </t>
  </si>
  <si>
    <t xml:space="preserve">Monark Sports</t>
  </si>
  <si>
    <t xml:space="preserve">Mountain Trade Supply, Inc</t>
  </si>
  <si>
    <t xml:space="preserve">Preferred Renovations</t>
  </si>
  <si>
    <t xml:space="preserve">Prestige Arms Worldwide</t>
  </si>
  <si>
    <t xml:space="preserve">Prime Solar USA</t>
  </si>
  <si>
    <t xml:space="preserve">Return Textiles</t>
  </si>
  <si>
    <t xml:space="preserve">SW Art Glass</t>
  </si>
  <si>
    <t xml:space="preserve">Young Wealth Management</t>
  </si>
  <si>
    <t xml:space="preserve">New in Harvest</t>
  </si>
  <si>
    <t xml:space="preserve">VV1012 LLC</t>
  </si>
  <si>
    <t xml:space="preserve">logged time in July but has no 2026 rate — price this client</t>
  </si>
  <si>
    <t xml:space="preserve">Building and Development Professionals LLC</t>
  </si>
  <si>
    <t xml:space="preserve">Priced clients in average: =COUNT(C6:C58)</t>
  </si>
  <si>
    <t xml:space="preserve">Simple average — every priced client counts once</t>
  </si>
  <si>
    <t xml:space="preserve">METHOD 1 — a 1-hour client counts as much as a 218-hour client</t>
  </si>
  <si>
    <t xml:space="preserve">Priced clients in the simple average</t>
  </si>
  <si>
    <t xml:space="preserve">of which some logged no July time at all — see column I above</t>
  </si>
  <si>
    <t xml:space="preserve">Hours-weighted average — weighted by July billable hours</t>
  </si>
  <si>
    <t xml:space="preserve">METHOD 2 — big clients dominate, dormant clients drop out</t>
  </si>
  <si>
    <t xml:space="preserve">CALIBRATION TO JULY ACTUALS</t>
  </si>
  <si>
    <t xml:space="preserve">basis 1 →</t>
  </si>
  <si>
    <t xml:space="preserve">July billable hours / billable $ (all clients)</t>
  </si>
  <si>
    <t xml:space="preserve">BASIS 1 — standard value of July time at the rates entered in Harvest</t>
  </si>
  <si>
    <t xml:space="preserve">basis 2 →</t>
  </si>
  <si>
    <t xml:space="preserve">Implied by actual Jan–Jul collections</t>
  </si>
  <si>
    <t xml:space="preserve">BASIS 2 — seven months of actual cash sales over seven months of July-level billable hours. Higher than basis 1 because fixed-fee work collects more than the standard time value.</t>
  </si>
  <si>
    <t xml:space="preserve">Model blended rate at the simple-average card</t>
  </si>
  <si>
    <t xml:space="preserve">the same hours mix priced at the rate card — uses the SIMPLE average, never the live rates, so there is no circular reference</t>
  </si>
  <si>
    <t xml:space="preserve">Calibration basis  (1, 2 or 3)   →   realization factor</t>
  </si>
  <si>
    <t xml:space="preserve">1 = standard time value · 2 = actual collections (default) · 3 = no calibration</t>
  </si>
  <si>
    <t xml:space="preserve">Calibrated rates — card × realization factor</t>
  </si>
  <si>
    <t xml:space="preserve">METHOD 3 — scales the whole card so the model reproduces reality per billable hour</t>
  </si>
  <si>
    <t xml:space="preserve">• Weighting the rate card by hours barely moves it (method 1 vs 2 differ by well under a dollar) because the card is nearly uniform — every CFO rate is $250 and almost every staff rate is $95.</t>
  </si>
  <si>
    <t xml:space="preserve">• The real gap is ROLE MIX, not client weighting. July's actual $148.76/hr against the card's $158.59 blend says less of the firm's time is billed at CFO rates than the model assumes.</t>
  </si>
  <si>
    <t xml:space="preserve">• To weight properly by role, pull the Harvest report grouped by PERSON (or person x client) and enter hours by role. Until then method 3 calibrates the whole card to observed revenue per hour.</t>
  </si>
  <si>
    <t xml:space="preserve">• July invoiced $55,385 against $93,855 of billable work. If that is invoice timing it will wash out; if it is write-downs the effective rate is lower still. Worth confirming before locking a rate.</t>
  </si>
  <si>
    <t xml:space="preserve">Assumptions &amp; Drivers</t>
  </si>
  <si>
    <t xml:space="preserve">Change any yellow cell to re-forecast the whole model.</t>
  </si>
  <si>
    <t xml:space="preserve">TIME &amp; UTILIZATION</t>
  </si>
  <si>
    <t xml:space="preserve">Hours per week</t>
  </si>
  <si>
    <t xml:space="preserve">Firm standard schedule</t>
  </si>
  <si>
    <t xml:space="preserve">Weeks per month</t>
  </si>
  <si>
    <t xml:space="preserve">Legacy flat convention — superseded by the Monthly Capacity calendar</t>
  </si>
  <si>
    <t xml:space="preserve">Gross working hours per month</t>
  </si>
  <si>
    <t xml:space="preserve">40 × 4 = 160 (flat). Real calendar averages 169.3 hrs/mo</t>
  </si>
  <si>
    <t xml:space="preserve">Non-billable admin hours per month</t>
  </si>
  <si>
    <t xml:space="preserve">Per your spec</t>
  </si>
  <si>
    <t xml:space="preserve">Billable-eligible hours per month</t>
  </si>
  <si>
    <t xml:space="preserve">Flat basis only — superseded by Monthly Capacity</t>
  </si>
  <si>
    <t xml:space="preserve">PTO hours per year</t>
  </si>
  <si>
    <t xml:space="preserve">2 weeks — Onyx Handbook</t>
  </si>
  <si>
    <t xml:space="preserve">Paid holiday hours per year</t>
  </si>
  <si>
    <t xml:space="preserve">7 holidays × 8 hrs — Onyx Handbook</t>
  </si>
  <si>
    <t xml:space="preserve">PTO + holiday per month</t>
  </si>
  <si>
    <t xml:space="preserve">Flat basis only — Monthly Capacity handles PTO and holidays by month</t>
  </si>
  <si>
    <t xml:space="preserve">Available billable hrs / mo (100% util)</t>
  </si>
  <si>
    <t xml:space="preserve">Utilization % — firm default</t>
  </si>
  <si>
    <t xml:space="preserve">Starting point for every person. Override per person in Monthly Capacity column T.</t>
  </si>
  <si>
    <t xml:space="preserve">Paid hours per year (full-time)</t>
  </si>
  <si>
    <t xml:space="preserve">Weekdays × 8 from the 2026 calendar (2,088) — divisor for hourly pay &amp; loaded cost</t>
  </si>
  <si>
    <t xml:space="preserve">↑ flat-basis block above is legacy; Monthly Capacity is the live driver</t>
  </si>
  <si>
    <t xml:space="preserve">EMPLOYER PAYROLL TAXES  (AZ / US)</t>
  </si>
  <si>
    <t xml:space="preserve">Social Security — employer rate</t>
  </si>
  <si>
    <t xml:space="preserve">FICA OASDI, capped at wage base</t>
  </si>
  <si>
    <t xml:space="preserve">Social Security wage base (2026)</t>
  </si>
  <si>
    <t xml:space="preserve">2026 SSA max</t>
  </si>
  <si>
    <t xml:space="preserve">Medicare — employer rate</t>
  </si>
  <si>
    <t xml:space="preserve">Uncapped</t>
  </si>
  <si>
    <t xml:space="preserve">FUTA rate</t>
  </si>
  <si>
    <t xml:space="preserve">Federal unemployment (net)</t>
  </si>
  <si>
    <t xml:space="preserve">FUTA wage base</t>
  </si>
  <si>
    <t xml:space="preserve">First $7,000 of wages</t>
  </si>
  <si>
    <t xml:space="preserve">AZ SUTA rate</t>
  </si>
  <si>
    <t xml:space="preserve">Arizona unemployment — set to your rate</t>
  </si>
  <si>
    <t xml:space="preserve">AZ SUTA wage base</t>
  </si>
  <si>
    <t xml:space="preserve">First $8,000 of wages (AZ 2026)</t>
  </si>
  <si>
    <t xml:space="preserve">OWNER COMPENSATION</t>
  </si>
  <si>
    <t xml:space="preserve">Owner (Steven) annual salary</t>
  </si>
  <si>
    <t xml:space="preserve">Set to Social Security wage-base max</t>
  </si>
  <si>
    <t xml:space="preserve">Owner client (billable) share</t>
  </si>
  <si>
    <t xml:space="preserve">50% client / 50% admin per your split</t>
  </si>
  <si>
    <t xml:space="preserve">Owner admin (overhead) share</t>
  </si>
  <si>
    <t xml:space="preserve">flows to Operating Expenses</t>
  </si>
  <si>
    <t xml:space="preserve">BLENDED BILL RATES — 2026  (from Bill Rates tab)</t>
  </si>
  <si>
    <t xml:space="preserve">CFO average bill rate</t>
  </si>
  <si>
    <t xml:space="preserve">Steven, Lisa — follows the method in B36</t>
  </si>
  <si>
    <t xml:space="preserve">Controller average bill rate</t>
  </si>
  <si>
    <t xml:space="preserve">Jessica — follows the method in B36</t>
  </si>
  <si>
    <t xml:space="preserve">Staff average bill rate</t>
  </si>
  <si>
    <t xml:space="preserve">Christine, Valentina, Josephine — follows the method in B36</t>
  </si>
  <si>
    <t xml:space="preserve">Rate blend method  (1, 2 or 3)</t>
  </si>
  <si>
    <t xml:space="preserve">1 = simple average · 2 = hours-weighted · 3 = calibrated to July actuals</t>
  </si>
  <si>
    <t xml:space="preserve">OWNER HOURS MODE  (1 or 2)</t>
  </si>
  <si>
    <t xml:space="preserve">1 = fixed 50% share (today)  ·  2 = residual to hit a net-income target</t>
  </si>
  <si>
    <t xml:space="preserve">BONUS FACTOR SOURCE  (1 or 2)</t>
  </si>
  <si>
    <t xml:space="preserve">1 = the manual quarterly factors  ·  2 = the earned scorecard factor</t>
  </si>
  <si>
    <t xml:space="preserve">Staff P&amp;L — Pay, Labor Burden &amp; Gross Profit per Person</t>
  </si>
  <si>
    <t xml:space="preserve">Blue = input.  Loaded hourly cost = full burden (pay + AZ/US tax + PEO benefits) ÷ paid hours (2,088 from the 2026 calendar).  Hours &amp; revenue now come from the Monthly Capacity tab.</t>
  </si>
  <si>
    <t xml:space="preserve">COMPENSATION  &amp;  EMPLOYER BURDEN</t>
  </si>
  <si>
    <t xml:space="preserve">HOURS,  REVENUE  &amp;  GROSS PROFIT</t>
  </si>
  <si>
    <t xml:space="preserve">Employee</t>
  </si>
  <si>
    <t xml:space="preserve">Role</t>
  </si>
  <si>
    <t xml:space="preserve">Pay basis</t>
  </si>
  <si>
    <t xml:space="preserve">Pay rate /
salary</t>
  </si>
  <si>
    <t xml:space="preserve">Base annual
comp</t>
  </si>
  <si>
    <t xml:space="preserve">Empl. SS</t>
  </si>
  <si>
    <t xml:space="preserve">Empl.
Medicare</t>
  </si>
  <si>
    <t xml:space="preserve">FUTA</t>
  </si>
  <si>
    <t xml:space="preserve">AZ SUTA</t>
  </si>
  <si>
    <t xml:space="preserve">Total empl.
tax</t>
  </si>
  <si>
    <t xml:space="preserve">Benefits
$/mo (2026 avg)</t>
  </si>
  <si>
    <t xml:space="preserve">Benefits
annual</t>
  </si>
  <si>
    <t xml:space="preserve">Fully-loaded
annual cost
(incl. bonus)</t>
  </si>
  <si>
    <t xml:space="preserve">Loaded
cost /mo</t>
  </si>
  <si>
    <t xml:space="preserve">Loaded
cost /hr</t>
  </si>
  <si>
    <t xml:space="preserve">Billable hrs
/yr</t>
  </si>
  <si>
    <t xml:space="preserve">Billable hrs
/mo (avg)</t>
  </si>
  <si>
    <t xml:space="preserve">Bill
rate</t>
  </si>
  <si>
    <t xml:space="preserve">Revenue
/mo</t>
  </si>
  <si>
    <t xml:space="preserve">COGS
alloc %</t>
  </si>
  <si>
    <t xml:space="preserve">COGS cost
/mo</t>
  </si>
  <si>
    <t xml:space="preserve">OpEx cost
/mo</t>
  </si>
  <si>
    <t xml:space="preserve">Gross profit
/mo</t>
  </si>
  <si>
    <t xml:space="preserve">GP
margin</t>
  </si>
  <si>
    <t xml:space="preserve">Steven Nikolov</t>
  </si>
  <si>
    <t xml:space="preserve">Salary (owner)</t>
  </si>
  <si>
    <t xml:space="preserve">Lisa Danforth</t>
  </si>
  <si>
    <t xml:space="preserve">Salary</t>
  </si>
  <si>
    <t xml:space="preserve">Jessica Bumphus</t>
  </si>
  <si>
    <t xml:space="preserve">Hourly</t>
  </si>
  <si>
    <t xml:space="preserve">Christine Johnson</t>
  </si>
  <si>
    <t xml:space="preserve">Valentina Dikova</t>
  </si>
  <si>
    <t xml:space="preserve">Contractor (BG)</t>
  </si>
  <si>
    <t xml:space="preserve">Josephine Mack</t>
  </si>
  <si>
    <t xml:space="preserve">Admin/Staff</t>
  </si>
  <si>
    <t xml:space="preserve">TOTAL / FIRM</t>
  </si>
  <si>
    <t xml:space="preserve">QUARTERLY DISCRETIONARY BONUS</t>
  </si>
  <si>
    <t xml:space="preserve">Owner is excluded by policy — set his target to 0%.</t>
  </si>
  <si>
    <t xml:space="preserve">Discretionary payout factor</t>
  </si>
  <si>
    <t xml:space="preserve">← the discretionary lever: 0% pays nothing that quarter, 150% pays one-and-a-half target.</t>
  </si>
  <si>
    <t xml:space="preserve">Target %
of base</t>
  </si>
  <si>
    <t xml:space="preserve">Annual
target</t>
  </si>
  <si>
    <t xml:space="preserve">Q1  (Mar)</t>
  </si>
  <si>
    <t xml:space="preserve">Q2  (Jun)</t>
  </si>
  <si>
    <t xml:space="preserve">Q3  (Sep)</t>
  </si>
  <si>
    <t xml:space="preserve">Q4  (Dec)</t>
  </si>
  <si>
    <t xml:space="preserve">Annual
bonus</t>
  </si>
  <si>
    <t xml:space="preserve">Empl. tax
on bonus</t>
  </si>
  <si>
    <t xml:space="preserve">Total bonus
cost</t>
  </si>
  <si>
    <t xml:space="preserve">TOTAL BONUS  (all)</t>
  </si>
  <si>
    <t xml:space="preserve">of which W-2 payroll  → Budget P&amp;L</t>
  </si>
  <si>
    <t xml:space="preserve">of which contractor  → Cost of labor</t>
  </si>
  <si>
    <t xml:space="preserve">• Bonuses are paid in March, June, September and December. Quarterly amount = annual target ÷ 4 × that quarter's payout factor.</t>
  </si>
  <si>
    <t xml:space="preserve">• Fully-loaded annual cost in column M includes the bonus and its employer tax, so loaded cost per hour and gross profit per person already reflect the plan.</t>
  </si>
  <si>
    <t xml:space="preserve">• The Budget P&amp;L 'Discretionary Bonuses' line and the employer tax on it are driven by the W-2 subtotal. On Forecast 2026 only the September and December payments land in the budget months — March and June are inside the Jan–Jul actuals.</t>
  </si>
  <si>
    <t xml:space="preserve">• Valentina is a contractor, so her bonus is not payroll. It sits inside her fully-loaded cost and reaches the P&amp;L through 'Cost of labor - Contractors', spread evenly across the months rather than in four payments. The annual amount is the same either way.</t>
  </si>
  <si>
    <t xml:space="preserve">• For reference, actual bonuses paid Jan–Jul 2026 were $2,610 for the whole firm — the 5% target here is a placeholder, so set each person's target before relying on the numbers.</t>
  </si>
  <si>
    <t xml:space="preserve">OPERATIONAL BONUS SCORECARD — earns the payout factor instead of typing it</t>
  </si>
  <si>
    <t xml:space="preserve">Set the KPI actuals each quarter; the factor is earned. Switch Assumptions!B40 to 2 to let this drive the bonus instead of the manual factors above.</t>
  </si>
  <si>
    <t xml:space="preserve">KPI</t>
  </si>
  <si>
    <t xml:space="preserve">Direction</t>
  </si>
  <si>
    <t xml:space="preserve">Threshold
(50%)</t>
  </si>
  <si>
    <t xml:space="preserve">Target
(100%)</t>
  </si>
  <si>
    <t xml:space="preserve">Stretch
(150%)</t>
  </si>
  <si>
    <t xml:space="preserve">Actual</t>
  </si>
  <si>
    <t xml:space="preserve">Earned
multiplier</t>
  </si>
  <si>
    <t xml:space="preserve">Weight
Lisa</t>
  </si>
  <si>
    <t xml:space="preserve">Weight
Jessica</t>
  </si>
  <si>
    <t xml:space="preserve">Weight
Christine</t>
  </si>
  <si>
    <t xml:space="preserve">Personal billable hours vs the Monthly Capacity plan</t>
  </si>
  <si>
    <t xml:space="preserve">higher</t>
  </si>
  <si>
    <t xml:space="preserve">Harvest hours ÷ that person's plan hours. July firm-wide came in at 97% of plan.</t>
  </si>
  <si>
    <t xml:space="preserve">Realized revenue per billable hour (3-month average)</t>
  </si>
  <si>
    <t xml:space="preserve">Collections ÷ billable hours, lagged so it is not gamed by a single month.</t>
  </si>
  <si>
    <t xml:space="preserve">Days from work performed to invoice sent</t>
  </si>
  <si>
    <t xml:space="preserve">lower</t>
  </si>
  <si>
    <t xml:space="preserve">The one metric that fixes the invoice lag. Needs a Harvest/QBO date report.</t>
  </si>
  <si>
    <t xml:space="preserve">Net revenue retention on the clients they own</t>
  </si>
  <si>
    <t xml:space="preserve">This year's fees ÷ last year's, same client group. Set the groups first.</t>
  </si>
  <si>
    <t xml:space="preserve">Total weight — each column must add to 100%</t>
  </si>
  <si>
    <t xml:space="preserve">EARNED PAYOUT FACTOR</t>
  </si>
  <si>
    <t xml:space="preserve">RECOMMENDED TARGET BONUS % OF BASE</t>
  </si>
  <si>
    <t xml:space="preserve">    Lisa Danforth (CFO)</t>
  </si>
  <si>
    <t xml:space="preserve">owns client relationships and pricing — most leverage</t>
  </si>
  <si>
    <t xml:space="preserve">    Jessica Bumphus (Controller)</t>
  </si>
  <si>
    <t xml:space="preserve">owns delivery and the close calendar</t>
  </si>
  <si>
    <t xml:space="preserve">    Christine Johnson (Staff)</t>
  </si>
  <si>
    <t xml:space="preserve">owns her own hours and turnaround</t>
  </si>
  <si>
    <t xml:space="preserve">    Josephine Mack (Admin)</t>
  </si>
  <si>
    <t xml:space="preserve">see the pay options below</t>
  </si>
  <si>
    <t xml:space="preserve">    Valentina Dikova (contractor)</t>
  </si>
  <si>
    <t xml:space="preserve">contractor — pay through the contract, not a bonus plan</t>
  </si>
  <si>
    <t xml:space="preserve">    Steven Nikolov (owner)</t>
  </si>
  <si>
    <t xml:space="preserve">excluded by policy — the owner takes profit, not bonus</t>
  </si>
  <si>
    <t xml:space="preserve">    Copy the ones you accept into the Target % column (B18:B23) above.</t>
  </si>
  <si>
    <t xml:space="preserve">JOSEPHINE — PAY OPTIONS  ($80,000 today; she asked for $90–110k)</t>
  </si>
  <si>
    <t xml:space="preserve">Option</t>
  </si>
  <si>
    <t xml:space="preserve">Base</t>
  </si>
  <si>
    <t xml:space="preserve">Bonus at
target</t>
  </si>
  <si>
    <t xml:space="preserve">Cash at
target</t>
  </si>
  <si>
    <t xml:space="preserve">Employer
tax</t>
  </si>
  <si>
    <t xml:space="preserve">Loaded
cost</t>
  </si>
  <si>
    <t xml:space="preserve">vs today</t>
  </si>
  <si>
    <t xml:space="preserve">Today — $80k, no bonus</t>
  </si>
  <si>
    <t xml:space="preserve">A1  base $90,000</t>
  </si>
  <si>
    <t xml:space="preserve">simple, permanent, no upside</t>
  </si>
  <si>
    <t xml:space="preserve">A2  base $95,000</t>
  </si>
  <si>
    <t xml:space="preserve">A3  base $100,000</t>
  </si>
  <si>
    <t xml:space="preserve">A4  base $110,000</t>
  </si>
  <si>
    <t xml:space="preserve">top of her ask</t>
  </si>
  <si>
    <t xml:space="preserve">B   $80k + $15,000 bonus</t>
  </si>
  <si>
    <t xml:space="preserve">same cost as A2, but variable</t>
  </si>
  <si>
    <t xml:space="preserve">C   $90,000 + 10% bonus  ← recommended</t>
  </si>
  <si>
    <t xml:space="preserve">$90k floor, $99k at target; the raise is committed, the rest is earned</t>
  </si>
  <si>
    <t xml:space="preserve">Billable share she would need for a $100,000 salary to pay for itself</t>
  </si>
  <si>
    <t xml:space="preserve">at zero margin, against her 15% today — the raise comes out of firm margin, not her own production</t>
  </si>
  <si>
    <t xml:space="preserve">Salary and bonus cost the SAME. Her base is already past the FUTA and AZ SUTA wage bases and far below the Social Security cap, so every extra dollar costs 7.65% either way. The choice is about commitment and timing, not money.</t>
  </si>
  <si>
    <t xml:space="preserve">Benefits — Health Insurance, 401(k) and PEO Fees</t>
  </si>
  <si>
    <t xml:space="preserve">Insperity HR360 proposal, Liberty Saver, 1000 Deductible plan. Prepared 12 Aug 2026, bid expires 25 Sep 2026, anticipated start 25 Oct 2026.</t>
  </si>
  <si>
    <t xml:space="preserve">Insperity's own default has the client paying a FLAT $509.76 per employee at every tier. Your $338 / $676 / $1,014 policy is a decision to subsidise DEPENDENT coverage.</t>
  </si>
  <si>
    <t xml:space="preserve">1.  EMPLOYEE CONTRIBUTION POLICY</t>
  </si>
  <si>
    <t xml:space="preserve">Base employee price — employee only</t>
  </si>
  <si>
    <t xml:space="preserve">Your target. Insperity's own default for this tier is $338.17, so this matches it.</t>
  </si>
  <si>
    <t xml:space="preserve">2.  1000 DEDUCTIBLE PLAN — TIERS</t>
  </si>
  <si>
    <t xml:space="preserve">Coverage tier</t>
  </si>
  <si>
    <t xml:space="preserve">Total monthly
allocation</t>
  </si>
  <si>
    <t xml:space="preserve">Employee
multiple</t>
  </si>
  <si>
    <t xml:space="preserve">Employee
pays</t>
  </si>
  <si>
    <t xml:space="preserve">Employer
pays</t>
  </si>
  <si>
    <t xml:space="preserve">Insperity
default employer</t>
  </si>
  <si>
    <t xml:space="preserve">Employee Only</t>
  </si>
  <si>
    <t xml:space="preserve">Insperity default employee price is $338.17 — your policy matches</t>
  </si>
  <si>
    <t xml:space="preserve">Emp. + Spouse</t>
  </si>
  <si>
    <t xml:space="preserve">a spouse costs more than any number of children</t>
  </si>
  <si>
    <t xml:space="preserve">Emp. + Child</t>
  </si>
  <si>
    <t xml:space="preserve">ASSUMPTION — your policy did not name the child tiers</t>
  </si>
  <si>
    <t xml:space="preserve">Emp. + Children</t>
  </si>
  <si>
    <t xml:space="preserve">ASSUMPTION — priced the same as one child; Insperity charges the same</t>
  </si>
  <si>
    <t xml:space="preserve">Emp. + Family</t>
  </si>
  <si>
    <t xml:space="preserve">3.  ELECTIONS BY EMPLOYEE</t>
  </si>
  <si>
    <t xml:space="preserve">Tier #</t>
  </si>
  <si>
    <t xml:space="preserve">Employer
medical /mo</t>
  </si>
  <si>
    <t xml:space="preserve">401(k)
eligible comp</t>
  </si>
  <si>
    <t xml:space="preserve">401(k) match
/mo</t>
  </si>
  <si>
    <t xml:space="preserve">Run-rate
employer /mo</t>
  </si>
  <si>
    <t xml:space="preserve">2026 average
/mo (prorated)</t>
  </si>
  <si>
    <t xml:space="preserve">Bulgaria contractor — not on US benefits or the PEO</t>
  </si>
  <si>
    <t xml:space="preserve">TOTAL</t>
  </si>
  <si>
    <t xml:space="preserve">→ column F feeds the PEO benefits column on Staff P&amp;L</t>
  </si>
  <si>
    <t xml:space="preserve">Tier # key: 1 Employee Only · 2 Emp+Spouse · 3 Emp+Child · 4 Emp+Children · 5 Emp+Family</t>
  </si>
  <si>
    <t xml:space="preserve">⚠ Tiers below are a GUESS that reproduces the proposal's census (2 family, 1 spouse, 2 employee-only). Set each person's real election.</t>
  </si>
  <si>
    <t xml:space="preserve">4.  401(k) MATCH</t>
  </si>
  <si>
    <t xml:space="preserve">Employer match — % of eligible comp</t>
  </si>
  <si>
    <t xml:space="preserve">You said start at 1–3%. Set it here; the sensitivity below prices each level.</t>
  </si>
  <si>
    <t xml:space="preserve">Participation assumption</t>
  </si>
  <si>
    <t xml:space="preserve">Share of eligible employees who contribute enough to earn the full match. 100% is the conservative budget case.</t>
  </si>
  <si>
    <t xml:space="preserve">Annual match cost at the setting above</t>
  </si>
  <si>
    <t xml:space="preserve">Sensitivity — annual cost at 1% / 2% / 3%</t>
  </si>
  <si>
    <t xml:space="preserve">1% · 2% · 3% of eligible W-2 comp</t>
  </si>
  <si>
    <t xml:space="preserve">5.  PEO SERVICE FEES  (Insperity HR360)</t>
  </si>
  <si>
    <t xml:space="preserve">⚠ Do NOT add Insperity's 8.00%-of-payroll payroll-tax allocation. The model already computes employer SS, Medicare, FUTA and AZ SUTA on the Assumptions tab, and does it more accurately because it respects each wage base.</t>
  </si>
  <si>
    <t xml:space="preserve">HR admin fee — per employee per month</t>
  </si>
  <si>
    <t xml:space="preserve">Proposal: $183.00 per full-time employee per month</t>
  </si>
  <si>
    <t xml:space="preserve">Workers' comp &amp; EPLI — % of payroll</t>
  </si>
  <si>
    <t xml:space="preserve">Proposal: 0.17% of gross payroll</t>
  </si>
  <si>
    <t xml:space="preserve">PEO payroll-tax load above the model's own — % of payroll</t>
  </si>
  <si>
    <t xml:space="preserve">Insperity allocates 8.00%; the model's own statutory calc is about 7.77%. Only the difference is incremental, so only the difference is charged here.</t>
  </si>
  <si>
    <t xml:space="preserve">W-2 employees enrolled</t>
  </si>
  <si>
    <t xml:space="preserve">US W-2 payroll subject to the fee</t>
  </si>
  <si>
    <t xml:space="preserve">base comp of W-2 staff plus W-2 bonuses</t>
  </si>
  <si>
    <t xml:space="preserve">One-time enrollment fee</t>
  </si>
  <si>
    <t xml:space="preserve">First month the PEO is in effect  (1 = Jan … 12 = Dec)</t>
  </si>
  <si>
    <t xml:space="preserve">Anticipated start 25 Oct 2026, so November is the first full month — only 2 of 2026.</t>
  </si>
  <si>
    <t xml:space="preserve">Months of PEO in 2026</t>
  </si>
  <si>
    <t xml:space="preserve">6.  EMPLOYER COST SUMMARY</t>
  </si>
  <si>
    <t xml:space="preserve">Per month</t>
  </si>
  <si>
    <t xml:space="preserve">Annual (12 mo)</t>
  </si>
  <si>
    <t xml:space="preserve">    Medical — employer share</t>
  </si>
  <si>
    <t xml:space="preserve">from the elections above, under your contribution policy</t>
  </si>
  <si>
    <t xml:space="preserve">    401(k) match</t>
  </si>
  <si>
    <t xml:space="preserve">    PEO HR admin</t>
  </si>
  <si>
    <t xml:space="preserve">    PEO workers' comp &amp; EPLI</t>
  </si>
  <si>
    <t xml:space="preserve">    PEO incremental payroll-tax load</t>
  </si>
  <si>
    <t xml:space="preserve">only the excess over the model's own statutory calculation</t>
  </si>
  <si>
    <t xml:space="preserve">TOTAL EMPLOYER BENEFIT + PEO COST</t>
  </si>
  <si>
    <t xml:space="preserve">Per enrolled employee per month</t>
  </si>
  <si>
    <t xml:space="preserve">2026 impact — PEO months only, plus the enrolment fee</t>
  </si>
  <si>
    <t xml:space="preserve">what actually lands in the 2026 P&amp;L given the late-October start</t>
  </si>
  <si>
    <t xml:space="preserve">• The proposal is priced on $564,922 of gross payroll. Actual 2026 US W-2 payroll in this model is higher, so Insperity's headline $88,295 service fee will be higher too — the fee scales with payroll. Ask them to re-quote on the real number before signing.</t>
  </si>
  <si>
    <t xml:space="preserve">• Medical is the swing item. Insperity's flat $509.76 default costs about $30,600 a year; your contribution policy roughly doubles it, because you absorb the dependent load that their default pushes onto the employee.</t>
  </si>
  <si>
    <t xml:space="preserve">• Dental and vision show zero electing and no allocation in the proposal — nothing is budgeted for them here.</t>
  </si>
  <si>
    <t xml:space="preserve">• Everything on this tab is an Insperity ALLOCATION, not an insurance premium. Their own disclaimer says so, and COBRA rates can differ materially.</t>
  </si>
  <si>
    <t xml:space="preserve">Monthly Capacity — Working Days → Billable Hours → Revenue</t>
  </si>
  <si>
    <t xml:space="preserve">Real 2026 calendar drives the budget. Working days = weekdays − company holidays. Holidays are removed HERE, so never subtract them again downstream. Utilization is now per person, in column T.</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</si>
  <si>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</si>
  <si>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</si>
  <si>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</si>
  <si>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</si>
  <si>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</si>
  <si>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</si>
  <si>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</si>
  <si>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</si>
  <si>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</si>
  <si>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</si>
  <si>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</si>
  <si>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</si>
  <si>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Total / Yr</t>
  </si>
  <si>
    <t xml:space="preserve">1.  CALENDAR</t>
  </si>
  <si>
    <t xml:space="preserve">Calendar days</t>
  </si>
  <si>
    <t xml:space="preserve">Weekdays (Mon–Fri)</t>
  </si>
  <si>
    <t xml:space="preserve">Company holidays</t>
  </si>
  <si>
    <t xml:space="preserve">Working days</t>
  </si>
  <si>
    <t xml:space="preserve">Hours per day</t>
  </si>
  <si>
    <t xml:space="preserve">Gross working hrs / FTE</t>
  </si>
  <si>
    <t xml:space="preserve">Paid hrs / FTE (incl. holidays)</t>
  </si>
  <si>
    <t xml:space="preserve">← drives hourly pay &amp; loaded-cost divisor</t>
  </si>
  <si>
    <t xml:space="preserve">2.  PTO SHAPING   (per-person annual PTO hours are set in block 3)</t>
  </si>
  <si>
    <t xml:space="preserve">PTO distribution % of annual</t>
  </si>
  <si>
    <t xml:space="preserve">must total 100%</t>
  </si>
  <si>
    <t xml:space="preserve">Check: PTO distribution totals 100%</t>
  </si>
  <si>
    <t xml:space="preserve">3.  BILLABLE HOURS BY PERSON</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</si>
  <si>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</si>
  <si>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</si>
  <si>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</si>
  <si>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</si>
  <si>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</si>
  <si>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</si>
  <si>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</si>
  <si>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</si>
  <si>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</si>
  <si>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</si>
  <si>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</si>
  <si>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</si>
  <si>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hrs</t>
  </si>
  <si>
    <t xml:space="preserve">Admin hrs
/mo</t>
  </si>
  <si>
    <t xml:space="preserve">Billable
share %</t>
  </si>
  <si>
    <t xml:space="preserve">Annual PTO
hrs</t>
  </si>
  <si>
    <t xml:space="preserve">Bill rate
$/hr</t>
  </si>
  <si>
    <t xml:space="preserve">Utilization
%</t>
  </si>
  <si>
    <t xml:space="preserve">Total billable hours</t>
  </si>
  <si>
    <t xml:space="preserve">weighted avg util →</t>
  </si>
  <si>
    <t xml:space="preserve">4.  REVENUE BY PERSON   (billable hours × bill rate)</t>
  </si>
  <si>
    <t xml:space="preserve">TOTAL REVENUE  → Budget P&amp;L</t>
  </si>
  <si>
    <t xml:space="preserve">5.  HOURLY-STAFF WAGE COST   (paid hours × pay rate)</t>
  </si>
  <si>
    <t xml:space="preserve">paid hrs incl. holidays × $/hr</t>
  </si>
  <si>
    <t xml:space="preserve">Total hourly wages</t>
  </si>
  <si>
    <t xml:space="preserve">• Working days = weekdays − company holidays (7/yr per the Onyx Handbook). Holidays are already excluded here, so the model must NOT deduct them again downstream.</t>
  </si>
  <si>
    <t xml:space="preserve">• Billable hours = (gross working hrs − admin hrs − PTO for the month) × billable share × utilization (Assumptions!B15).</t>
  </si>
  <si>
    <t xml:space="preserve">• Paid hours include holidays because the handbook pays them; that is the divisor for hourly wages and loaded cost per hour.</t>
  </si>
  <si>
    <t xml:space="preserve">• 2026 has 254 working days / 2,032 working hours and 261 weekdays / 2,088 paid hours per FTE.</t>
  </si>
  <si>
    <t xml:space="preserve">JULY 2026 OBSERVED (Harvest) — read the definitions before comparing</t>
  </si>
  <si>
    <t xml:space="preserve">    Total hours logged</t>
  </si>
  <si>
    <t xml:space="preserve">    Billable hours</t>
  </si>
  <si>
    <t xml:space="preserve">    Admin hours (Onyx admin + operations admin)</t>
  </si>
  <si>
    <t xml:space="preserve">    Time off</t>
  </si>
  <si>
    <t xml:space="preserve">    Harvest utilization — billable ÷ ALL hours logged</t>
  </si>
  <si>
    <t xml:space="preserve">NOT comparable with column T — it divides by time off and admin as well</t>
  </si>
  <si>
    <t xml:space="preserve">    Harvest utilization — billable ÷ hours excluding time off</t>
  </si>
  <si>
    <t xml:space="preserve">still not the model's definition</t>
  </si>
  <si>
    <t xml:space="preserve">    Billable-eligible hours in July on the MODEL's definition</t>
  </si>
  <si>
    <t xml:space="preserve">July working hours less admin and PTO, times each person's billable share</t>
  </si>
  <si>
    <t xml:space="preserve">    UTILIZATION ON THE MODEL'S DEFINITION</t>
  </si>
  <si>
    <t xml:space="preserve">THIS is the number to compare with column T</t>
  </si>
  <si>
    <t xml:space="preserve">    Plan billable hours for July / actual as % of plan</t>
  </si>
  <si>
    <t xml:space="preserve">hours are close to plan — the gap is in the rate, not the hours</t>
  </si>
  <si>
    <t xml:space="preserve">    Capacity that reached no timesheet at all</t>
  </si>
  <si>
    <t xml:space="preserve">July calendar capacity for six people, less billable, admin and time off</t>
  </si>
  <si>
    <t xml:space="preserve">    Note: Harvest gives no role split, so all of this is firm-wide. Pull the Harvest report grouped by person to set column T individually.</t>
  </si>
  <si>
    <t xml:space="preserve">Target net income for the year</t>
  </si>
  <si>
    <t xml:space="preserve">the goal that decides how much Steven has to bill</t>
  </si>
  <si>
    <t xml:space="preserve">Total firm cost — all labour fully loaded</t>
  </si>
  <si>
    <t xml:space="preserve">every person's pay + employer tax + benefits + bonus. Independent of who bills what.</t>
  </si>
  <si>
    <t xml:space="preserve">Non-labour COGS, operating expenses and new-hire cost</t>
  </si>
  <si>
    <t xml:space="preserve">every non-payroll line, plus any hires on the Growth &amp; Hiring tab</t>
  </si>
  <si>
    <t xml:space="preserve">PEO service fees — already inside the line above</t>
  </si>
  <si>
    <t xml:space="preserve">kept at zero: HR admin, workers' comp and the tax load are not yet on the P&amp;L, so adding them here would break the calibration. See the PEO line below.</t>
  </si>
  <si>
    <t xml:space="preserve">COST BASE</t>
  </si>
  <si>
    <t xml:space="preserve">Revenue from everyone except Steven, incl. growth</t>
  </si>
  <si>
    <t xml:space="preserve">staff capacity and any new clients or hires are consumed first</t>
  </si>
  <si>
    <t xml:space="preserve">Revenue Steven must generate</t>
  </si>
  <si>
    <t xml:space="preserve">HOURS STEVEN MUST BILL — for the year</t>
  </si>
  <si>
    <t xml:space="preserve">    per month, on average</t>
  </si>
  <si>
    <t xml:space="preserve">His practical ceiling — working hrs less admin and PTO, at his utilization</t>
  </si>
  <si>
    <t xml:space="preserve">100% of his time billable — the absolute most he could do</t>
  </si>
  <si>
    <t xml:space="preserve">Feasible?</t>
  </si>
  <si>
    <t xml:space="preserve">Implied billable share of his time</t>
  </si>
  <si>
    <t xml:space="preserve">compare with the 50% in column Q — this is what the target actually demands</t>
  </si>
  <si>
    <t xml:space="preserve">Required hours by month</t>
  </si>
  <si>
    <t xml:space="preserve">    spread in proportion to the working days in each month</t>
  </si>
  <si>
    <t xml:space="preserve">Calibration check — residual at TODAY's net income should equal today's hours</t>
  </si>
  <si>
    <t xml:space="preserve">    net income at the current plan</t>
  </si>
  <si>
    <t xml:space="preserve">    hours the formula implies at that net income</t>
  </si>
  <si>
    <t xml:space="preserve">    Steven's actual hours in the plan</t>
  </si>
  <si>
    <t xml:space="preserve">    match?</t>
  </si>
  <si>
    <t xml:space="preserve">Extra hours the PEO would cost, once signed</t>
  </si>
  <si>
    <t xml:space="preserve">full-year PEO and benefit cost translated into hours Steven must bill to absorb it</t>
  </si>
  <si>
    <t xml:space="preserve">• Why a net-income target and not a revenue target: with a revenue target, raising Christine to $40/hr or Josephine to $95k changes nothing about how much Steven must bill, even though net income falls. With a net-income target those decisions immediately show up as extra hours he has to work — which is the question he asked.</t>
  </si>
  <si>
    <t xml:space="preserve">• The cost base is deliberately assembled from Staff P&amp;L column M and the non-payroll P&amp;L lines rather than from the Budget P&amp;L subtotals, because those subtotals depend on Steven's COGS allocation. Building it this way keeps the calculation free of any circular reference.</t>
  </si>
  <si>
    <t xml:space="preserve">• In residual mode Steven's COGS/operating split follows his computed hours instead of the fixed 50%, so the P&amp;L geography tracks what he actually does. Net income is identical either way — the split only moves cost between gross profit and operating expenses.</t>
  </si>
  <si>
    <t xml:space="preserve">Growth &amp; Hiring — client wins and added staff for the rest of 2026</t>
  </si>
  <si>
    <t xml:space="preserve">Everything here is incremental to the base plan. It flows into the Budget P&amp;L, and therefore into the Aug–Dec months of Forecast 2026. The Jan–Jul actuals never move.</t>
  </si>
  <si>
    <t xml:space="preserve">Total</t>
  </si>
  <si>
    <t xml:space="preserve">1.  NEW CLIENT REVENUE</t>
  </si>
  <si>
    <t xml:space="preserve">New recurring revenue won in the month</t>
  </si>
  <si>
    <t xml:space="preserve">monthly fee added that month</t>
  </si>
  <si>
    <t xml:space="preserve">Cumulative new recurring revenue</t>
  </si>
  <si>
    <t xml:space="preserve">← this is the revenue that reaches the P&amp;L</t>
  </si>
  <si>
    <t xml:space="preserve">One-off / project revenue</t>
  </si>
  <si>
    <t xml:space="preserve">clean-ups, implementations — not recurring</t>
  </si>
  <si>
    <t xml:space="preserve">TOTAL INCREMENTAL REVENUE</t>
  </si>
  <si>
    <t xml:space="preserve">2.  NEW HIRES</t>
  </si>
  <si>
    <t xml:space="preserve">Hire  (cost by month)</t>
  </si>
  <si>
    <t xml:space="preserve">Total cost</t>
  </si>
  <si>
    <t xml:space="preserve">Annual pay</t>
  </si>
  <si>
    <t xml:space="preserve">Start
month</t>
  </si>
  <si>
    <t xml:space="preserve">Billable
share</t>
  </si>
  <si>
    <t xml:space="preserve">Utilization</t>
  </si>
  <si>
    <t xml:space="preserve">Staff accountant #1</t>
  </si>
  <si>
    <t xml:space="preserve">start month 0 = not hired</t>
  </si>
  <si>
    <t xml:space="preserve">Staff accountant #2</t>
  </si>
  <si>
    <t xml:space="preserve">Controller #2</t>
  </si>
  <si>
    <t xml:space="preserve">Total new-hire cost</t>
  </si>
  <si>
    <t xml:space="preserve">New-hire billable hours</t>
  </si>
  <si>
    <t xml:space="preserve">New-hire revenue</t>
  </si>
  <si>
    <t xml:space="preserve">3.  NET IMPACT</t>
  </si>
  <si>
    <t xml:space="preserve">Incremental revenue — clients + new hires</t>
  </si>
  <si>
    <t xml:space="preserve">Incremental cost — new hires</t>
  </si>
  <si>
    <t xml:space="preserve">NET IMPACT ON NET INCOME</t>
  </si>
  <si>
    <t xml:space="preserve">• New client revenue is entered as the monthly fee won in that month, then carried forward — a $3,000 client won in August bills $3,000 every month from August on.</t>
  </si>
  <si>
    <t xml:space="preserve">• A new hire's capacity uses the same calendar as everyone else: that month's working hours less 20 admin hours and their share of 80 hours PTO, times their billable share and utilization. New hires are assumed to ramp at 85%, not 91%.</t>
  </si>
  <si>
    <t xml:space="preserve">• Only the recurring and one-off revenue lines and the hire costs are inputs. Everything else is calculated, and the whole block adds to the Budget P&amp;L, so Forecast 2026 picks it up in August through December.</t>
  </si>
  <si>
    <t xml:space="preserve">• New hires here do NOT carry benefits or PEO fees. Add them on the Benefits tab once a hire is real.</t>
  </si>
  <si>
    <t xml:space="preserve">Budget — Profit and Loss (QuickBooks format)</t>
  </si>
  <si>
    <t xml:space="preserve">January–December 2026 (Forecast)</t>
  </si>
  <si>
    <t xml:space="preserve">Revenue and hourly wages follow the real 2026 working-day calendar (Monthly Capacity tab). Green = linked; blue = input.</t>
  </si>
  <si>
    <t xml:space="preserve">Income</t>
  </si>
  <si>
    <t xml:space="preserve">    Billable Expense Income</t>
  </si>
  <si>
    <t xml:space="preserve">Reimbursed client expenses — input</t>
  </si>
  <si>
    <t xml:space="preserve">    Sales</t>
  </si>
  <si>
    <t xml:space="preserve">Σ billable revenue, all staff (Staff P&amp;L)</t>
  </si>
  <si>
    <t xml:space="preserve">Total for Income</t>
  </si>
  <si>
    <t xml:space="preserve">Cost of Goods Sold</t>
  </si>
  <si>
    <t xml:space="preserve">    Cost of labor - Contractors</t>
  </si>
  <si>
    <t xml:space="preserve">Valentina (Bulgaria all-in)</t>
  </si>
  <si>
    <t xml:space="preserve">    Filing Fees</t>
  </si>
  <si>
    <t xml:space="preserve">H1-26 avg ≈ $28/mo</t>
  </si>
  <si>
    <t xml:space="preserve">    Payroll Expenses</t>
  </si>
  <si>
    <t xml:space="preserve">        Discretionary Bonuses</t>
  </si>
  <si>
    <t xml:space="preserve">Input</t>
  </si>
  <si>
    <t xml:space="preserve">        Holiday Pay</t>
  </si>
  <si>
    <t xml:space="preserve">0 — embedded in annual wages</t>
  </si>
  <si>
    <t xml:space="preserve">        Wages</t>
  </si>
  <si>
    <t xml:space="preserve">Production staff, COGS-allocated</t>
  </si>
  <si>
    <t xml:space="preserve">        Payroll Taxes</t>
  </si>
  <si>
    <t xml:space="preserve">Employer AZ/US tax on COGS wages</t>
  </si>
  <si>
    <t xml:space="preserve">        Benefits - PEO</t>
  </si>
  <si>
    <t xml:space="preserve">PEO insurance/401k, COGS-allocated</t>
  </si>
  <si>
    <t xml:space="preserve">Total for Payroll Expenses</t>
  </si>
  <si>
    <t xml:space="preserve">Total for Cost of Goods Sold</t>
  </si>
  <si>
    <t xml:space="preserve">Gross Profit</t>
  </si>
  <si>
    <t xml:space="preserve">Expenses</t>
  </si>
  <si>
    <t xml:space="preserve">    Owner Compensation (Steven, admin 50%)</t>
  </si>
  <si>
    <t xml:space="preserve">Owner salary, admin share</t>
  </si>
  <si>
    <t xml:space="preserve">    Admin Salary (Josephine)</t>
  </si>
  <si>
    <t xml:space="preserve">Admin share of $80k</t>
  </si>
  <si>
    <t xml:space="preserve">    Admin Payroll Taxes</t>
  </si>
  <si>
    <t xml:space="preserve">    Admin Benefits - PEO</t>
  </si>
  <si>
    <t xml:space="preserve">    Advertising &amp; Marketing</t>
  </si>
  <si>
    <t xml:space="preserve">H1-26 monthly avg — review</t>
  </si>
  <si>
    <t xml:space="preserve">    Bank Charges &amp; Fees</t>
  </si>
  <si>
    <t xml:space="preserve">    Dues &amp; subscriptions</t>
  </si>
  <si>
    <t xml:space="preserve">    Insurance</t>
  </si>
  <si>
    <t xml:space="preserve">    IT</t>
  </si>
  <si>
    <t xml:space="preserve">    Legal &amp; Professional Services</t>
  </si>
  <si>
    <t xml:space="preserve">    Meals &amp; Entertainment</t>
  </si>
  <si>
    <t xml:space="preserve">    Office Supplies &amp; Software</t>
  </si>
  <si>
    <t xml:space="preserve">    QuickBooks Payments Fees</t>
  </si>
  <si>
    <t xml:space="preserve">    Reimbursements</t>
  </si>
  <si>
    <t xml:space="preserve">    Rent &amp; Lease</t>
  </si>
  <si>
    <t xml:space="preserve">    Website</t>
  </si>
  <si>
    <t xml:space="preserve">Total for Expenses</t>
  </si>
  <si>
    <t xml:space="preserve">Net Operating Income</t>
  </si>
  <si>
    <t xml:space="preserve">Net Income</t>
  </si>
  <si>
    <t xml:space="preserve">LABOR BURDEN — LOADED COST PER HOUR (from Staff P&amp;L)</t>
  </si>
  <si>
    <t xml:space="preserve">Loaded $/yr</t>
  </si>
  <si>
    <t xml:space="preserve">Loaded $/mo</t>
  </si>
  <si>
    <t xml:space="preserve">Loaded $/hr</t>
  </si>
  <si>
    <t xml:space="preserve">Bill rate</t>
  </si>
  <si>
    <t xml:space="preserve">Budget &amp; Forecast 2026</t>
  </si>
  <si>
    <t xml:space="preserve">January–July are the actual figures from the QuickBooks P&amp;L (cash basis). August–December are calculated from the budget.</t>
  </si>
  <si>
    <t xml:space="preserve">Utilization  (Aug–Dec only)</t>
  </si>
  <si>
    <t xml:space="preserve">← left: the toggle (edit here or on Assumptions!B15).   right: utilization implied by Jan–Jul actuals — set the toggle to this to carry the actual run-rate forward.</t>
  </si>
  <si>
    <t xml:space="preserve">Total 2026</t>
  </si>
  <si>
    <t xml:space="preserve">ACTUAL</t>
  </si>
  <si>
    <t xml:space="preserve">BUDGET</t>
  </si>
  <si>
    <t xml:space="preserve">INCOME</t>
  </si>
  <si>
    <t xml:space="preserve">    Unapplied Cash Payment Income</t>
  </si>
  <si>
    <t xml:space="preserve">Total Income</t>
  </si>
  <si>
    <t xml:space="preserve">COST OF GOODS SOLD</t>
  </si>
  <si>
    <t xml:space="preserve">    Discretionary Bonuses</t>
  </si>
  <si>
    <t xml:space="preserve">    Holiday Pay</t>
  </si>
  <si>
    <t xml:space="preserve">    Wages</t>
  </si>
  <si>
    <t xml:space="preserve">    Payroll Taxes</t>
  </si>
  <si>
    <t xml:space="preserve">    Benefits - PEO</t>
  </si>
  <si>
    <t xml:space="preserve">Total Cost of Goods Sold</t>
  </si>
  <si>
    <t xml:space="preserve">GROSS PROFIT</t>
  </si>
  <si>
    <t xml:space="preserve">OPERATING EXPENSES</t>
  </si>
  <si>
    <t xml:space="preserve">    PTO-1</t>
  </si>
  <si>
    <t xml:space="preserve">    Unapplied Cash Bill Payment Expense</t>
  </si>
  <si>
    <t xml:space="preserve">Total Operating Expenses</t>
  </si>
  <si>
    <t xml:space="preserve">NET INCOME</t>
  </si>
  <si>
    <t xml:space="preserve">Net margin</t>
  </si>
  <si>
    <t xml:space="preserve">Jan–Jul actual  /  Aug–Dec budget</t>
  </si>
  <si>
    <t xml:space="preserve">← the two halves of the year</t>
  </si>
  <si>
    <t xml:space="preserve">PRO-FORMA — full-year economics</t>
  </si>
  <si>
    <t xml:space="preserve">The Jan–Jul actuals carry no owner compensation, admin salary, PEO benefits or IT, because those are not on the QuickBooks P&amp;L. This restates the full year as if every month bore them.</t>
  </si>
  <si>
    <t xml:space="preserve">Net income per the forecast above</t>
  </si>
  <si>
    <t xml:space="preserve">    Less: Owner compensation, Jan–Jul</t>
  </si>
  <si>
    <t xml:space="preserve">    Less: Admin salary, Jan–Jul</t>
  </si>
  <si>
    <t xml:space="preserve">    Less: Admin payroll taxes, Jan–Jul</t>
  </si>
  <si>
    <t xml:space="preserve">    Less: Admin PEO benefits, Jan–Jul</t>
  </si>
  <si>
    <t xml:space="preserve">    Less: PEO benefits in COGS, Jan–Jul</t>
  </si>
  <si>
    <t xml:space="preserve">    Less: IT, Jan–Jul</t>
  </si>
  <si>
    <t xml:space="preserve">PRO-FORMA NET INCOME  (all costs expensed all year)</t>
  </si>
  <si>
    <t xml:space="preserve">• Blue Jan–Jul figures are typed from the QuickBooks P&amp;L (cash basis). Green Aug–Dec figures are formulas from the Budget P&amp;L tab and move with the utilization toggle.</t>
  </si>
  <si>
    <t xml:space="preserve">• When August closes, type the actual figures over the August column and change its band label to ACTUAL. Nothing else needs touching.</t>
  </si>
  <si>
    <t xml:space="preserve">• Actuals are cash basis and the budget is accrual, so revenue timing is not strictly comparable across the two halves of the year.</t>
  </si>
  <si>
    <t xml:space="preserve">Owner Earnings &amp; Tax — Steven Nikolov, 2026</t>
  </si>
  <si>
    <t xml:space="preserve">Salary, pass-through income and the tax that follows. Yellow cells are inputs — confirm every tax parameter against current IRS and ADOR figures before relying on this.</t>
  </si>
  <si>
    <t xml:space="preserve">NOT TAX ADVICE — a planning model. The rate table below ships with estimates, not filed figures.</t>
  </si>
  <si>
    <t xml:space="preserve">1.  ENTITY &amp; FILING ASSUMPTIONS</t>
  </si>
  <si>
    <t xml:space="preserve">Entity tax treatment</t>
  </si>
  <si>
    <t xml:space="preserve">S-Corporation</t>
  </si>
  <si>
    <t xml:space="preserve">An LLC paying its owner a W-2 salary is taxed as an S-corp. If you are taxed as a partnership, owner pay is a guaranteed payment and is subject to SE tax — this tab would need reworking.</t>
  </si>
  <si>
    <t xml:space="preserve">Filing status</t>
  </si>
  <si>
    <t xml:space="preserve">Married filing jointly</t>
  </si>
  <si>
    <t xml:space="preserve">Drives the bracket table and thresholds below.</t>
  </si>
  <si>
    <t xml:space="preserve">Owner's share of the firm</t>
  </si>
  <si>
    <t xml:space="preserve">Percent of K-1 income allocated to Steven.</t>
  </si>
  <si>
    <t xml:space="preserve">Other household WAGES (spouse W-2)</t>
  </si>
  <si>
    <t xml:space="preserve">Wages only. These count towards the Additional Medicare threshold.</t>
  </si>
  <si>
    <t xml:space="preserve">Other household non-wage income</t>
  </si>
  <si>
    <t xml:space="preserve">Interest, dividends, capital gains. Taxable, but NOT subject to Medicare tax.</t>
  </si>
  <si>
    <t xml:space="preserve">2.  FIRM RESULT  →  OWNER'S K-1</t>
  </si>
  <si>
    <t xml:space="preserve">Firm net income per Forecast 2026</t>
  </si>
  <si>
    <t xml:space="preserve">As forecast: Jan–Jul actual, Aug–Dec budget.</t>
  </si>
  <si>
    <t xml:space="preserve">Add back: owner salary expensed Aug–Dec</t>
  </si>
  <si>
    <t xml:space="preserve">The budget months carry 5/12 of the owner's salary — half in COGS wages, half in operating expenses.</t>
  </si>
  <si>
    <t xml:space="preserve">Add back: employer payroll tax on it, Aug–Dec</t>
  </si>
  <si>
    <t xml:space="preserve">The budget months also expense 5/12 of the employer tax on the owner's wages, across the COGS and admin payroll-tax lines. Without this add-back it would be charged twice.</t>
  </si>
  <si>
    <t xml:space="preserve">Add back: owner salary AND its employer tax inside the Jan–Jul actuals</t>
  </si>
  <si>
    <t xml:space="preserve">Enter salary plus employer payroll tax combined. Both sit inside the actual COGS Wages and Payroll Taxes lines and cannot be identified from a summary P&amp;L. Left at $0 the model assumes Steven drew no salary Jan–Jul.</t>
  </si>
  <si>
    <t xml:space="preserve">Firm profit before owner compensation</t>
  </si>
  <si>
    <t xml:space="preserve">Genuinely before owner salary AND its employer tax — both are removed once, below.</t>
  </si>
  <si>
    <t xml:space="preserve">Less: owner W-2 salary (full year)</t>
  </si>
  <si>
    <t xml:space="preserve">Set on Assumptions!B28. Currently the Social Security wage-base max.</t>
  </si>
  <si>
    <t xml:space="preserve">Less: employer payroll tax on owner salary</t>
  </si>
  <si>
    <t xml:space="preserve">Employer SS, Medicare, FUTA and AZ SUTA on the owner's wages — a company expense, not his.</t>
  </si>
  <si>
    <t xml:space="preserve">K-1 pass-through income to owner</t>
  </si>
  <si>
    <t xml:space="preserve">Taxed on the owner's 1040. NOT subject to self-employment or FICA tax.</t>
  </si>
  <si>
    <t xml:space="preserve">3.  TAX PARAMETERS   (verify before relying on these)</t>
  </si>
  <si>
    <t xml:space="preserve">Standard / itemized deduction</t>
  </si>
  <si>
    <t xml:space="preserve">2026 standard deduction, MFJ — estimate. Replace with your figure.</t>
  </si>
  <si>
    <t xml:space="preserve">Social Security wage base</t>
  </si>
  <si>
    <t xml:space="preserve">2026: $184,500.</t>
  </si>
  <si>
    <t xml:space="preserve">Employee Social Security rate</t>
  </si>
  <si>
    <t xml:space="preserve">Employee Medicare rate</t>
  </si>
  <si>
    <t xml:space="preserve">Additional Medicare rate</t>
  </si>
  <si>
    <t xml:space="preserve">Applies to wages above the threshold below.</t>
  </si>
  <si>
    <t xml:space="preserve">Additional Medicare threshold</t>
  </si>
  <si>
    <t xml:space="preserve">$250,000 MFJ / $200,000 single.</t>
  </si>
  <si>
    <t xml:space="preserve">Arizona income tax rate</t>
  </si>
  <si>
    <t xml:space="preserve">Arizona flat individual rate.</t>
  </si>
  <si>
    <t xml:space="preserve">QBI deduction rate</t>
  </si>
  <si>
    <t xml:space="preserve">Section 199A.</t>
  </si>
  <si>
    <t xml:space="preserve">QBI / SSTB phase-out threshold</t>
  </si>
  <si>
    <t xml:space="preserve">Accounting is a Specified Service Trade or Business, so the deduction phases out above this. MFJ estimate — verify.</t>
  </si>
  <si>
    <t xml:space="preserve">QBI / SSTB phase-out range</t>
  </si>
  <si>
    <t xml:space="preserve">Fully phased out once taxable income exceeds threshold + range.</t>
  </si>
  <si>
    <t xml:space="preserve">4.  FEDERAL BRACKET TABLE   (edit to match the final figures)</t>
  </si>
  <si>
    <t xml:space="preserve">Bracket floor</t>
  </si>
  <si>
    <t xml:space="preserve">Rate</t>
  </si>
  <si>
    <t xml:space="preserve">Incremental rate × income above floor  (rows sum to the tax)</t>
  </si>
  <si>
    <t xml:space="preserve">    bracket 1</t>
  </si>
  <si>
    <t xml:space="preserve">    bracket 2</t>
  </si>
  <si>
    <t xml:space="preserve">    bracket 3</t>
  </si>
  <si>
    <t xml:space="preserve">    bracket 4</t>
  </si>
  <si>
    <t xml:space="preserve">    bracket 5</t>
  </si>
  <si>
    <t xml:space="preserve">    bracket 6</t>
  </si>
  <si>
    <t xml:space="preserve">    bracket 7</t>
  </si>
  <si>
    <t xml:space="preserve">Federal income tax</t>
  </si>
  <si>
    <t xml:space="preserve">5.  OWNER'S TAXABLE INCOME</t>
  </si>
  <si>
    <t xml:space="preserve">W-2 salary</t>
  </si>
  <si>
    <t xml:space="preserve">K-1 pass-through income</t>
  </si>
  <si>
    <t xml:space="preserve">Other household wages</t>
  </si>
  <si>
    <t xml:space="preserve">Total income</t>
  </si>
  <si>
    <t xml:space="preserve">Less: standard / itemized deduction</t>
  </si>
  <si>
    <t xml:space="preserve">Taxable income before QBI</t>
  </si>
  <si>
    <t xml:space="preserve">QBI phase-out — applicable percentage</t>
  </si>
  <si>
    <t xml:space="preserve">Accounting is an SSTB: 100% means the deduction is fully available, 0% means fully phased out.</t>
  </si>
  <si>
    <t xml:space="preserve">QBI deduction</t>
  </si>
  <si>
    <t xml:space="preserve">20% of qualified business income, reduced by the SSTB phase-out and capped at 20% of taxable income.</t>
  </si>
  <si>
    <t xml:space="preserve">TAXABLE INCOME</t>
  </si>
  <si>
    <t xml:space="preserve">6.  TOTAL TAX</t>
  </si>
  <si>
    <t xml:space="preserve">Employee Social Security</t>
  </si>
  <si>
    <t xml:space="preserve">Withheld from the owner's paycheck. The company separately pays a matching SS and Medicare amount plus FUTA and AZ SUTA — that is the employer tax line in section 2.</t>
  </si>
  <si>
    <t xml:space="preserve">Employee Medicare</t>
  </si>
  <si>
    <t xml:space="preserve">Additional Medicare</t>
  </si>
  <si>
    <t xml:space="preserve">Wages only. Investment income is outside the Medicare base (that is NIIT territory).</t>
  </si>
  <si>
    <t xml:space="preserve">Arizona income tax</t>
  </si>
  <si>
    <t xml:space="preserve">Flat rate applied to federal taxable income — approximate.</t>
  </si>
  <si>
    <t xml:space="preserve">TOTAL TAX</t>
  </si>
  <si>
    <t xml:space="preserve">Effective rate on total income</t>
  </si>
  <si>
    <t xml:space="preserve">7.  CASH TO OWNER</t>
  </si>
  <si>
    <t xml:space="preserve">K-1 income available to distribute</t>
  </si>
  <si>
    <t xml:space="preserve">Cash only to the extent the firm actually distributes it.</t>
  </si>
  <si>
    <t xml:space="preserve">Total pre-tax cash</t>
  </si>
  <si>
    <t xml:space="preserve">Less: total tax</t>
  </si>
  <si>
    <t xml:space="preserve">NET AFTER-TAX CASH TO OWNER</t>
  </si>
  <si>
    <t xml:space="preserve">Income tax (federal + Arizona)</t>
  </si>
  <si>
    <t xml:space="preserve">Total tax less the FICA already withheld from payroll. This is what estimates must cover.</t>
  </si>
  <si>
    <t xml:space="preserve">Quarterly estimated payment</t>
  </si>
  <si>
    <t xml:space="preserve">Income tax spread over four quarters. Reduce it by any federal or state income tax already withheld from the owner's salary.</t>
  </si>
  <si>
    <t xml:space="preserve">Distribution to cover the tax on K-1 income</t>
  </si>
  <si>
    <t xml:space="preserve">The K-1's pro-rata share of the income tax — the part the salary does not fund. Keep at least this much distributable so the owner is not paying firm tax out of pocket.</t>
  </si>
  <si>
    <t xml:space="preserve">HOW TO READ THIS</t>
  </si>
  <si>
    <t xml:space="preserve">• The firm's net income is not the owner's income. Salary is taxed as wages and carries FICA; the rest reaches the 1040 through the K-1 without FICA. That split is the whole point of the S-corp election.</t>
  </si>
  <si>
    <t xml:space="preserve">• Setting salary at the Social Security wage base maximises the wages subject to SS while leaving every additional dollar of profit free of it. Above the base only Medicare continues.</t>
  </si>
  <si>
    <t xml:space="preserve">• Accounting is a Specified Service Trade or Business, so the 20% QBI deduction phases out as income rises. Watch the applicable percentage in section 5 — at this income level it is partly or entirely gone.</t>
  </si>
  <si>
    <t xml:space="preserve">• Raising the owner's salary lowers K-1 income roughly dollar for dollar but adds employer and employee Medicare on the way through, so total tax rises. Lowering it below reasonable compensation invites an IRS challenge.</t>
  </si>
  <si>
    <t xml:space="preserve">• State tax is modelled as Arizona's flat rate on federal taxable income. Arizona starts from federal AGI with its own adjustments, so treat this as an approximation.</t>
  </si>
  <si>
    <t xml:space="preserve">Firm Budget &amp; Forecast — 2026</t>
  </si>
  <si>
    <t xml:space="preserve">Updated 2026-08-20  •  Jan–Jul actuals + Aug–Dec budget · rates calibrated to actuals · per-person utilization · PEO benefits · growth and hiring</t>
  </si>
  <si>
    <t xml:space="preserve">START HERE</t>
  </si>
  <si>
    <t xml:space="preserve">Forecast 2026</t>
  </si>
  <si>
    <t xml:space="preserve">The budget: Jan–Jul actual QuickBooks figures, Aug–Dec calculated.</t>
  </si>
  <si>
    <t xml:space="preserve">Monthly roll-forward</t>
  </si>
  <si>
    <t xml:space="preserve">When a month closes, type its actuals over that month's column on Forecast 2026 and change the band label to ACTUAL.</t>
  </si>
  <si>
    <t xml:space="preserve">Now PER PERSON, in Monthly Capacity column T. Each cell starts as a link to the firm default on Assumptions!B15 — type over it to make someone custom.</t>
  </si>
  <si>
    <t xml:space="preserve">Rate blend method</t>
  </si>
  <si>
    <t xml:space="preserve">Assumptions!B36. 1 simple average · 2 hours-weighted · 3 calibrated to actuals (default). The calibration basis is on Bill Rates row 71.</t>
  </si>
  <si>
    <t xml:space="preserve">How many hours must Steven bill?</t>
  </si>
  <si>
    <t xml:space="preserve">Set Assumptions!B38 to 2, then set the net-income target on Monthly Capacity row 62. Staff capacity is counted first; his hours are the residual.</t>
  </si>
  <si>
    <t xml:space="preserve">THE TABS</t>
  </si>
  <si>
    <t xml:space="preserve">1. Bill Rates</t>
  </si>
  <si>
    <t xml:space="preserve">Rate per client, with July Harvest hours and billable dollars alongside. Simple average, hours-weighted average, and a calibration to what the firm actually collects.</t>
  </si>
  <si>
    <t xml:space="preserve">2. Assumptions</t>
  </si>
  <si>
    <t xml:space="preserve">Hours, PTO, employer tax rates, owner comp, and the four mode switches: rate method (B36), owner hours (B38), bonus factor source (B40).</t>
  </si>
  <si>
    <t xml:space="preserve">3. Staff P&amp;L</t>
  </si>
  <si>
    <t xml:space="preserve">Pay, full labour burden, loaded cost per hour and gross profit per person. Also the quarterly bonus block, the operational scorecard and Josephine's pay options.</t>
  </si>
  <si>
    <t xml:space="preserve">4. Benefits</t>
  </si>
  <si>
    <t xml:space="preserve">Insperity 1000-Deductible medical by tier under your $338/$676/$1,014 policy, the 401(k) match, and the PEO service fees. Feeds the benefits column on Staff P&amp;L.</t>
  </si>
  <si>
    <t xml:space="preserve">5. Monthly Capacity</t>
  </si>
  <si>
    <t xml:space="preserve">Real 2026 calendar to billable hours to revenue, per person. Also the July observed block and the owner residual calculation.</t>
  </si>
  <si>
    <t xml:space="preserve">6. Growth &amp; Hiring</t>
  </si>
  <si>
    <t xml:space="preserve">New client revenue and new hires for the rest of the year. Adds straight into the Budget P&amp;L, so Forecast 2026 picks it up Aug–Dec.</t>
  </si>
  <si>
    <t xml:space="preserve">7. Budget P&amp;L</t>
  </si>
  <si>
    <t xml:space="preserve">Pure budget, all 12 months. Source of the Aug–Dec figures.</t>
  </si>
  <si>
    <t xml:space="preserve">8. Forecast 2026</t>
  </si>
  <si>
    <t xml:space="preserve">Jan–Jul actual, Aug–Dec budget, plus a pro-forma with all costs expensed.</t>
  </si>
  <si>
    <t xml:space="preserve">9. Owner Earnings</t>
  </si>
  <si>
    <t xml:space="preserve">Steven's salary, K-1 pass-through income and the tax that follows.</t>
  </si>
  <si>
    <t xml:space="preserve">COLOR LEGEND</t>
  </si>
  <si>
    <t xml:space="preserve">Blue on yellow</t>
  </si>
  <si>
    <t xml:space="preserve">Input you can change</t>
  </si>
  <si>
    <t xml:space="preserve">Green text</t>
  </si>
  <si>
    <t xml:space="preserve">Pulled from another tab</t>
  </si>
  <si>
    <t xml:space="preserve">Black text</t>
  </si>
  <si>
    <t xml:space="preserve">Calculated — do not type over</t>
  </si>
  <si>
    <t xml:space="preserve">Forecast month taken from QuickBooks</t>
  </si>
  <si>
    <t xml:space="preserve">Forecast month calculated</t>
  </si>
  <si>
    <t xml:space="preserve">KEY OUTPUTS</t>
  </si>
  <si>
    <t xml:space="preserve">Total revenue</t>
  </si>
  <si>
    <t xml:space="preserve">Net income (as reported)</t>
  </si>
  <si>
    <t xml:space="preserve">Pro-forma net income</t>
  </si>
  <si>
    <t xml:space="preserve">Blended bill rate in use</t>
  </si>
  <si>
    <t xml:space="preserve">Realization factor</t>
  </si>
  <si>
    <t xml:space="preserve">Utilization — firm default</t>
  </si>
  <si>
    <t xml:space="preserve">Utilization July, model definition</t>
  </si>
  <si>
    <t xml:space="preserve">Benefits + PEO, full run-rate /yr</t>
  </si>
  <si>
    <t xml:space="preserve">Benefits + PEO landing in 2026</t>
  </si>
  <si>
    <t xml:space="preserve">Growth: net impact on net income</t>
  </si>
  <si>
    <t xml:space="preserve">Steven's required hours at target</t>
  </si>
  <si>
    <t xml:space="preserve">Owner K-1 income</t>
  </si>
  <si>
    <t xml:space="preserve">OPEN QUESTIONS &amp; SOURCES</t>
  </si>
  <si>
    <t xml:space="preserve">•</t>
  </si>
  <si>
    <t xml:space="preserve">RATES: weighting the card by client hours changes almost nothing — the card is nearly uniform. The real gap is ROLE MIX. Pull the Harvest Detailed Time Report (person x client x hours) to weight by role properly.</t>
  </si>
  <si>
    <t xml:space="preserve">UTILIZATION: Harvest's 66% divides by time off and admin and is NOT the model's definition. On the model's own basis July was 88.4%, against 91% assumed, and hours came in at 97% of plan. Do not put 66% in the utilization cell.</t>
  </si>
  <si>
    <t xml:space="preserve">BENEFITS: tiers on the Benefits tab are a GUESS that reproduces the proposal's census (2 family, 1 spouse, 2 employee-only). Confirm who is on what.</t>
  </si>
  <si>
    <t xml:space="preserve">PEO: priced on $564,922 of payroll but actual W-2 payroll is higher, so the real service fee will exceed the quoted $88,295. Ask Insperity to re-quote. Start date 25 Oct 2026 means only two months land in 2026.</t>
  </si>
  <si>
    <t xml:space="preserve">BONUS: do not pay against the 59% invoiced-to-billable figure — it is invoice timing, not write-downs. Actual collections run ABOVE the standard value of logged time.</t>
  </si>
  <si>
    <t xml:space="preserve">JOSEPHINE: salary and bonus cost exactly the same (7.65% either way). The choice is commitment versus flexibility. At 15% billable she would need a 67% billable share for a $100k salary to pay for itself.</t>
  </si>
  <si>
    <t xml:space="preserve">Actuals are CASH basis; the budget is accrual. Sources: Harvest July 2026 client report, Insperity HR360 proposal dated 12 Aug 2026, QuickBooks P&amp;L Jan–Jul 2026.</t>
  </si>
</sst>
</file>

<file path=xl/styles.xml><?xml version="1.0" encoding="utf-8"?>
<styleSheet xmlns="http://schemas.openxmlformats.org/spreadsheetml/2006/main">
  <numFmts count="15">
    <numFmt numFmtId="164" formatCode="General"/>
    <numFmt numFmtId="165" formatCode="\$#,##0.00;&quot;($&quot;#,##0.00\);\-"/>
    <numFmt numFmtId="166" formatCode="#,##0.0"/>
    <numFmt numFmtId="167" formatCode="\$#,##0;&quot;($&quot;#,##0\);\-"/>
    <numFmt numFmtId="168" formatCode="General"/>
    <numFmt numFmtId="169" formatCode="\$#,##0"/>
    <numFmt numFmtId="170" formatCode="0"/>
    <numFmt numFmtId="171" formatCode="0.0%"/>
    <numFmt numFmtId="172" formatCode="#,##0"/>
    <numFmt numFmtId="173" formatCode="0.00%"/>
    <numFmt numFmtId="174" formatCode="0.0"/>
    <numFmt numFmtId="175" formatCode="0.000%"/>
    <numFmt numFmtId="176" formatCode="@"/>
    <numFmt numFmtId="177" formatCode="\$#,##0;&quot;($&quot;#,##0\);\-"/>
    <numFmt numFmtId="178" formatCode="\$#,##0.00"/>
  </numFmts>
  <fonts count="51">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b val="true"/>
      <sz val="12"/>
      <color rgb="FF1F3864"/>
      <name val="Arial"/>
      <family val="2"/>
      <charset val="1"/>
    </font>
    <font>
      <i val="true"/>
      <sz val="9"/>
      <color rgb="FF808080"/>
      <name val="Arial"/>
      <family val="0"/>
      <charset val="1"/>
    </font>
    <font>
      <b val="true"/>
      <sz val="10"/>
      <color rgb="FFFFFFFF"/>
      <name val="Arial"/>
      <family val="2"/>
      <charset val="1"/>
    </font>
    <font>
      <b val="true"/>
      <sz val="10"/>
      <color rgb="FFFFFFFF"/>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sz val="10"/>
      <color rgb="FF0000FF"/>
      <name val="Arial"/>
      <family val="0"/>
      <charset val="1"/>
    </font>
    <font>
      <sz val="10"/>
      <color rgb="FF000000"/>
      <name val="Arial"/>
      <family val="0"/>
      <charset val="1"/>
    </font>
    <font>
      <i val="true"/>
      <sz val="8"/>
      <color rgb="FF808080"/>
      <name val="Arial"/>
      <family val="0"/>
      <charset val="1"/>
    </font>
    <font>
      <b val="true"/>
      <sz val="10"/>
      <color rgb="FF000000"/>
      <name val="Arial"/>
      <family val="0"/>
      <charset val="1"/>
    </font>
    <font>
      <i val="true"/>
      <sz val="8"/>
      <color rgb="FFC00000"/>
      <name val="Arial"/>
      <family val="0"/>
      <charset val="1"/>
    </font>
    <font>
      <i val="true"/>
      <sz val="9"/>
      <color rgb="FF808080"/>
      <name val="Arial"/>
      <family val="2"/>
      <charset val="1"/>
    </font>
    <font>
      <sz val="9"/>
      <color rgb="FF808080"/>
      <name val="Arial"/>
      <family val="2"/>
      <charset val="1"/>
    </font>
    <font>
      <sz val="10"/>
      <color rgb="FF008000"/>
      <name val="Arial"/>
      <family val="0"/>
      <charset val="1"/>
    </font>
    <font>
      <sz val="11"/>
      <name val="Arial"/>
      <family val="0"/>
      <charset val="1"/>
    </font>
    <font>
      <sz val="10"/>
      <name val="Arial"/>
      <family val="2"/>
    </font>
    <font>
      <i val="true"/>
      <sz val="9"/>
      <color rgb="FFC00000"/>
      <name val="Arial"/>
      <family val="0"/>
      <charset val="1"/>
    </font>
    <font>
      <sz val="11"/>
      <color rgb="FF008000"/>
      <name val="Arial"/>
      <family val="0"/>
      <charset val="1"/>
    </font>
    <font>
      <sz val="9"/>
      <color rgb="FF000000"/>
      <name val="Arial"/>
      <family val="2"/>
      <charset val="1"/>
    </font>
    <font>
      <sz val="10"/>
      <color rgb="FF008000"/>
      <name val="Arial"/>
      <family val="2"/>
      <charset val="1"/>
    </font>
    <font>
      <b val="true"/>
      <sz val="10"/>
      <color rgb="FF008000"/>
      <name val="Arial"/>
      <family val="0"/>
      <charset val="1"/>
    </font>
    <font>
      <b val="true"/>
      <sz val="11"/>
      <color rgb="FFFFFFFF"/>
      <name val="Arial"/>
      <family val="0"/>
      <charset val="1"/>
    </font>
    <font>
      <i val="true"/>
      <sz val="9"/>
      <color rgb="FF000000"/>
      <name val="Arial"/>
      <family val="0"/>
      <charset val="1"/>
    </font>
    <font>
      <sz val="9"/>
      <color rgb="FF000000"/>
      <name val="Arial"/>
      <family val="0"/>
      <charset val="1"/>
    </font>
    <font>
      <sz val="9"/>
      <color rgb="FF808080"/>
      <name val="Arial"/>
      <family val="0"/>
      <charset val="1"/>
    </font>
    <font>
      <b val="true"/>
      <sz val="9"/>
      <color rgb="FF000000"/>
      <name val="Arial"/>
      <family val="0"/>
      <charset val="1"/>
    </font>
    <font>
      <b val="true"/>
      <sz val="14"/>
      <color rgb="FF1F3864"/>
      <name val="Arial"/>
      <family val="0"/>
      <charset val="1"/>
    </font>
    <font>
      <b val="true"/>
      <sz val="12"/>
      <color rgb="FF1F3864"/>
      <name val="Arial"/>
      <family val="0"/>
      <charset val="1"/>
    </font>
    <font>
      <sz val="10"/>
      <color rgb="FF808080"/>
      <name val="Arial"/>
      <family val="0"/>
      <charset val="1"/>
    </font>
    <font>
      <i val="true"/>
      <sz val="8"/>
      <color rgb="FF008000"/>
      <name val="Arial"/>
      <family val="0"/>
      <charset val="1"/>
    </font>
    <font>
      <sz val="10"/>
      <name val="Arial"/>
      <family val="0"/>
      <charset val="1"/>
    </font>
    <font>
      <b val="true"/>
      <i val="true"/>
      <sz val="9"/>
      <color rgb="FF000000"/>
      <name val="Arial"/>
      <family val="0"/>
      <charset val="1"/>
    </font>
    <font>
      <sz val="9"/>
      <color rgb="FF008000"/>
      <name val="Arial"/>
      <family val="0"/>
      <charset val="1"/>
    </font>
    <font>
      <b val="true"/>
      <sz val="9"/>
      <color rgb="FFFFFFFF"/>
      <name val="Arial"/>
      <family val="0"/>
      <charset val="1"/>
    </font>
    <font>
      <b val="true"/>
      <sz val="11"/>
      <color rgb="FF000000"/>
      <name val="Arial"/>
      <family val="0"/>
      <charset val="1"/>
    </font>
    <font>
      <i val="true"/>
      <sz val="10"/>
      <color rgb="FF808080"/>
      <name val="Arial"/>
      <family val="0"/>
      <charset val="1"/>
    </font>
    <font>
      <i val="true"/>
      <sz val="8"/>
      <color rgb="FF808080"/>
      <name val="Arial"/>
      <family val="2"/>
      <charset val="1"/>
    </font>
    <font>
      <b val="true"/>
      <sz val="10"/>
      <color rgb="FF0000FF"/>
      <name val="Arial"/>
      <family val="0"/>
      <charset val="1"/>
    </font>
    <font>
      <b val="true"/>
      <sz val="9"/>
      <color rgb="FF375623"/>
      <name val="Arial"/>
      <family val="0"/>
      <charset val="1"/>
    </font>
    <font>
      <b val="true"/>
      <sz val="9"/>
      <color rgb="FF7F6000"/>
      <name val="Arial"/>
      <family val="0"/>
      <charset val="1"/>
    </font>
    <font>
      <sz val="10"/>
      <color rgb="FFC00000"/>
      <name val="Arial"/>
      <family val="0"/>
      <charset val="1"/>
    </font>
    <font>
      <i val="true"/>
      <sz val="10"/>
      <color rgb="FF000000"/>
      <name val="Arial"/>
      <family val="0"/>
      <charset val="1"/>
    </font>
    <font>
      <b val="true"/>
      <sz val="16"/>
      <color rgb="FF1F3864"/>
      <name val="Arial"/>
      <family val="2"/>
      <charset val="1"/>
    </font>
    <font>
      <b val="true"/>
      <sz val="10"/>
      <color rgb="FF375623"/>
      <name val="Arial"/>
      <family val="0"/>
      <charset val="1"/>
    </font>
    <font>
      <b val="true"/>
      <sz val="10"/>
      <color rgb="FF7F6000"/>
      <name val="Arial"/>
      <family val="0"/>
      <charset val="1"/>
    </font>
  </fonts>
  <fills count="10">
    <fill>
      <patternFill patternType="none"/>
    </fill>
    <fill>
      <patternFill patternType="gray125"/>
    </fill>
    <fill>
      <patternFill patternType="solid">
        <fgColor rgb="FF1F3864"/>
        <bgColor rgb="FF333399"/>
      </patternFill>
    </fill>
    <fill>
      <patternFill patternType="solid">
        <fgColor rgb="FFD9E1F2"/>
        <bgColor rgb="FFE2EFDA"/>
      </patternFill>
    </fill>
    <fill>
      <patternFill patternType="solid">
        <fgColor rgb="FFFFFF00"/>
        <bgColor rgb="FFFFFF00"/>
      </patternFill>
    </fill>
    <fill>
      <patternFill patternType="solid">
        <fgColor rgb="FFFFC000"/>
        <bgColor rgb="FFFF9900"/>
      </patternFill>
    </fill>
    <fill>
      <patternFill patternType="solid">
        <fgColor rgb="FFFFF2CC"/>
        <bgColor rgb="FFF2F2F2"/>
      </patternFill>
    </fill>
    <fill>
      <patternFill patternType="solid">
        <fgColor rgb="FFBDD7EE"/>
        <bgColor rgb="FFD9E1F2"/>
      </patternFill>
    </fill>
    <fill>
      <patternFill patternType="solid">
        <fgColor rgb="FFF2F2F2"/>
        <bgColor rgb="FFE2EFDA"/>
      </patternFill>
    </fill>
    <fill>
      <patternFill patternType="solid">
        <fgColor rgb="FFE2EFDA"/>
        <bgColor rgb="FFF2F2F2"/>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color rgb="FF808080"/>
      </top>
      <bottom/>
      <diagonal/>
    </border>
    <border diagonalUp="false" diagonalDown="false">
      <left/>
      <right/>
      <top style="medium">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right" vertical="bottom" textRotation="0" wrapText="false" indent="0" shrinkToFit="false"/>
      <protection locked="true" hidden="false"/>
    </xf>
    <xf numFmtId="166"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right" vertical="bottom" textRotation="0" wrapText="false" indent="0" shrinkToFit="false"/>
      <protection locked="true" hidden="false"/>
    </xf>
    <xf numFmtId="164" fontId="15" fillId="6" borderId="1" xfId="0" applyFont="true" applyBorder="tru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right" vertical="bottom" textRotation="0" wrapText="false" indent="0" shrinkToFit="false"/>
      <protection locked="true" hidden="false"/>
    </xf>
    <xf numFmtId="164" fontId="13" fillId="7" borderId="2" xfId="0" applyFont="true" applyBorder="true" applyAlignment="true" applyProtection="false">
      <alignment horizontal="general" vertical="bottom" textRotation="0" wrapText="false" indent="0" shrinkToFit="false"/>
      <protection locked="true" hidden="false"/>
    </xf>
    <xf numFmtId="164" fontId="15" fillId="7" borderId="2" xfId="0" applyFont="true" applyBorder="true" applyAlignment="true" applyProtection="false">
      <alignment horizontal="general" vertical="bottom" textRotation="0" wrapText="false" indent="0" shrinkToFit="false"/>
      <protection locked="true" hidden="false"/>
    </xf>
    <xf numFmtId="165" fontId="15" fillId="7" borderId="2"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8" fontId="13" fillId="0" borderId="1" xfId="0" applyFont="true" applyBorder="true" applyAlignment="true" applyProtection="false">
      <alignment horizontal="right"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6" fontId="15" fillId="0" borderId="1" xfId="0" applyFont="true" applyBorder="true" applyAlignment="true" applyProtection="false">
      <alignment horizontal="right" vertical="bottom" textRotation="0" wrapText="false" indent="0" shrinkToFit="false"/>
      <protection locked="true" hidden="false"/>
    </xf>
    <xf numFmtId="167" fontId="15" fillId="0" borderId="1" xfId="0" applyFont="true" applyBorder="true" applyAlignment="true" applyProtection="false">
      <alignment horizontal="right" vertical="bottom" textRotation="0" wrapText="false" indent="0" shrinkToFit="false"/>
      <protection locked="true" hidden="false"/>
    </xf>
    <xf numFmtId="165" fontId="15" fillId="0"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right" vertical="bottom" textRotation="0" wrapText="false" indent="0" shrinkToFit="false"/>
      <protection locked="true" hidden="false"/>
    </xf>
    <xf numFmtId="169" fontId="19" fillId="0" borderId="1"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0" fontId="20" fillId="0" borderId="1" xfId="0" applyFont="true" applyBorder="tru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70" fontId="12" fillId="4" borderId="1" xfId="0" applyFont="true" applyBorder="true" applyAlignment="true" applyProtection="false">
      <alignment horizontal="center" vertical="bottom" textRotation="0" wrapText="false" indent="0" shrinkToFit="false"/>
      <protection locked="true" hidden="false"/>
    </xf>
    <xf numFmtId="165" fontId="20" fillId="0" borderId="2" xfId="0" applyFont="true" applyBorder="true" applyAlignment="true" applyProtection="false">
      <alignment horizontal="right" vertical="bottom" textRotation="0" wrapText="false" indent="0" shrinkToFit="false"/>
      <protection locked="true" hidden="false"/>
    </xf>
    <xf numFmtId="171" fontId="15" fillId="8"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2" fontId="11" fillId="4"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71" fontId="11" fillId="4" borderId="0" xfId="0" applyFont="true" applyBorder="false" applyAlignment="true" applyProtection="false">
      <alignment horizontal="right" vertical="bottom" textRotation="0" wrapText="false" indent="0" shrinkToFit="false"/>
      <protection locked="true" hidden="false"/>
    </xf>
    <xf numFmtId="172" fontId="19" fillId="0"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73" fontId="11" fillId="4" borderId="0" xfId="0" applyFont="true" applyBorder="false" applyAlignment="true" applyProtection="false">
      <alignment horizontal="right" vertical="bottom" textRotation="0" wrapText="false" indent="0" shrinkToFit="false"/>
      <protection locked="true" hidden="false"/>
    </xf>
    <xf numFmtId="171" fontId="10" fillId="0" borderId="0" xfId="0" applyFont="true" applyBorder="false" applyAlignment="true" applyProtection="false">
      <alignment horizontal="right" vertical="bottom" textRotation="0" wrapText="false" indent="0" shrinkToFit="false"/>
      <protection locked="true" hidden="false"/>
    </xf>
    <xf numFmtId="165" fontId="23" fillId="0" borderId="0" xfId="0" applyFont="true" applyBorder="false" applyAlignment="true" applyProtection="false">
      <alignment horizontal="right" vertical="bottom" textRotation="0" wrapText="false" indent="0" shrinkToFit="false"/>
      <protection locked="true" hidden="false"/>
    </xf>
    <xf numFmtId="170" fontId="12" fillId="4"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xf numFmtId="167" fontId="25" fillId="0"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5" fontId="19" fillId="4" borderId="1"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6" fontId="19" fillId="0" borderId="1" xfId="0" applyFont="true" applyBorder="true" applyAlignment="true" applyProtection="false">
      <alignment horizontal="right" vertical="bottom" textRotation="0" wrapText="false" indent="0" shrinkToFit="false"/>
      <protection locked="true" hidden="false"/>
    </xf>
    <xf numFmtId="165" fontId="25" fillId="0" borderId="1" xfId="0" applyFont="true" applyBorder="true" applyAlignment="true" applyProtection="false">
      <alignment horizontal="right" vertical="bottom" textRotation="0" wrapText="false" indent="0" shrinkToFit="false"/>
      <protection locked="true" hidden="false"/>
    </xf>
    <xf numFmtId="167" fontId="26" fillId="0" borderId="1" xfId="0" applyFont="true" applyBorder="true" applyAlignment="true" applyProtection="false">
      <alignment horizontal="right" vertical="bottom" textRotation="0" wrapText="false" indent="0" shrinkToFit="false"/>
      <protection locked="true" hidden="false"/>
    </xf>
    <xf numFmtId="171" fontId="1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71" fontId="10" fillId="0" borderId="1" xfId="0" applyFont="true" applyBorder="true" applyAlignment="true" applyProtection="false">
      <alignment horizontal="right" vertical="bottom" textRotation="0" wrapText="false" indent="0" shrinkToFit="false"/>
      <protection locked="true" hidden="false"/>
    </xf>
    <xf numFmtId="167" fontId="11" fillId="4" borderId="1" xfId="0" applyFont="true" applyBorder="true" applyAlignment="true" applyProtection="false">
      <alignment horizontal="right" vertical="bottom" textRotation="0" wrapText="false" indent="0" shrinkToFit="false"/>
      <protection locked="true" hidden="false"/>
    </xf>
    <xf numFmtId="171" fontId="11" fillId="4" borderId="1" xfId="0" applyFont="true" applyBorder="true" applyAlignment="true" applyProtection="false">
      <alignment horizontal="right" vertical="bottom" textRotation="0" wrapText="false" indent="0" shrinkToFit="false"/>
      <protection locked="true" hidden="false"/>
    </xf>
    <xf numFmtId="164" fontId="9" fillId="7" borderId="2" xfId="0" applyFont="true" applyBorder="true" applyAlignment="true" applyProtection="false">
      <alignment horizontal="general" vertical="bottom" textRotation="0" wrapText="false" indent="0" shrinkToFit="false"/>
      <protection locked="true" hidden="false"/>
    </xf>
    <xf numFmtId="164" fontId="10" fillId="7" borderId="2" xfId="0" applyFont="true" applyBorder="true" applyAlignment="true" applyProtection="false">
      <alignment horizontal="general" vertical="bottom" textRotation="0" wrapText="false" indent="0" shrinkToFit="false"/>
      <protection locked="true" hidden="false"/>
    </xf>
    <xf numFmtId="167" fontId="9" fillId="7" borderId="2" xfId="0" applyFont="true" applyBorder="true" applyAlignment="true" applyProtection="false">
      <alignment horizontal="right" vertical="bottom" textRotation="0" wrapText="false" indent="0" shrinkToFit="false"/>
      <protection locked="true" hidden="false"/>
    </xf>
    <xf numFmtId="165" fontId="9" fillId="7" borderId="2" xfId="0" applyFont="true" applyBorder="true" applyAlignment="true" applyProtection="false">
      <alignment horizontal="right" vertical="bottom" textRotation="0" wrapText="false" indent="0" shrinkToFit="false"/>
      <protection locked="true" hidden="false"/>
    </xf>
    <xf numFmtId="166" fontId="15" fillId="7" borderId="2" xfId="0" applyFont="true" applyBorder="true" applyAlignment="true" applyProtection="false">
      <alignment horizontal="right" vertical="bottom" textRotation="0" wrapText="false" indent="0" shrinkToFit="false"/>
      <protection locked="true" hidden="false"/>
    </xf>
    <xf numFmtId="171" fontId="9" fillId="7" borderId="2" xfId="0" applyFont="true" applyBorder="true" applyAlignment="true" applyProtection="false">
      <alignment horizontal="right" vertical="bottom" textRotation="0" wrapText="false" indent="0" shrinkToFit="false"/>
      <protection locked="true" hidden="false"/>
    </xf>
    <xf numFmtId="164" fontId="27" fillId="2"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71" fontId="12" fillId="4"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71" fontId="12" fillId="4" borderId="1" xfId="0" applyFont="true" applyBorder="true" applyAlignment="true" applyProtection="false">
      <alignment horizontal="right" vertical="bottom" textRotation="0" wrapText="false" indent="0" shrinkToFit="false"/>
      <protection locked="true" hidden="false"/>
    </xf>
    <xf numFmtId="167" fontId="13" fillId="0" borderId="1" xfId="0" applyFont="true" applyBorder="true" applyAlignment="true" applyProtection="false">
      <alignment horizontal="right" vertical="bottom" textRotation="0" wrapText="false" indent="0" shrinkToFit="false"/>
      <protection locked="true" hidden="false"/>
    </xf>
    <xf numFmtId="167" fontId="15" fillId="7" borderId="2" xfId="0" applyFont="true" applyBorder="true" applyAlignment="true" applyProtection="false">
      <alignment horizontal="right" vertical="bottom" textRotation="0" wrapText="false" indent="0" shrinkToFit="false"/>
      <protection locked="true" hidden="false"/>
    </xf>
    <xf numFmtId="164" fontId="15" fillId="8" borderId="0" xfId="0" applyFont="true" applyBorder="false" applyAlignment="true" applyProtection="false">
      <alignment horizontal="general" vertical="bottom" textRotation="0" wrapText="false" indent="0" shrinkToFit="false"/>
      <protection locked="true" hidden="false"/>
    </xf>
    <xf numFmtId="167" fontId="15" fillId="8" borderId="1" xfId="0" applyFont="true" applyBorder="true" applyAlignment="true" applyProtection="false">
      <alignment horizontal="right" vertical="bottom" textRotation="0" wrapText="false" indent="0" shrinkToFit="false"/>
      <protection locked="true" hidden="false"/>
    </xf>
    <xf numFmtId="164" fontId="28" fillId="8" borderId="0" xfId="0" applyFont="true" applyBorder="false" applyAlignment="true" applyProtection="false">
      <alignment horizontal="general" vertical="bottom" textRotation="0" wrapText="false" indent="0" shrinkToFit="false"/>
      <protection locked="true" hidden="false"/>
    </xf>
    <xf numFmtId="167" fontId="28" fillId="8" borderId="1" xfId="0" applyFont="true" applyBorder="true" applyAlignment="true" applyProtection="false">
      <alignment horizontal="right" vertical="bottom" textRotation="0" wrapText="false" indent="0" shrinkToFit="false"/>
      <protection locked="true" hidden="false"/>
    </xf>
    <xf numFmtId="164" fontId="29" fillId="0" borderId="1" xfId="0" applyFont="true" applyBorder="true" applyAlignment="true" applyProtection="false">
      <alignment horizontal="general" vertical="bottom"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71" fontId="15" fillId="0" borderId="1" xfId="0" applyFont="true" applyBorder="tru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71" fontId="15" fillId="7" borderId="2" xfId="0" applyFont="true" applyBorder="true" applyAlignment="true" applyProtection="false">
      <alignment horizontal="right"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1" fontId="30" fillId="0" borderId="1" xfId="0" applyFont="true" applyBorder="true" applyAlignment="true" applyProtection="false">
      <alignment horizontal="right" vertical="bottom" textRotation="0" wrapText="false" indent="0" shrinkToFit="false"/>
      <protection locked="true" hidden="false"/>
    </xf>
    <xf numFmtId="164" fontId="31" fillId="0" borderId="1" xfId="0" applyFont="true" applyBorder="true" applyAlignment="true" applyProtection="false">
      <alignment horizontal="general" vertical="bottom" textRotation="0" wrapText="false" indent="0" shrinkToFit="false"/>
      <protection locked="true" hidden="false"/>
    </xf>
    <xf numFmtId="171" fontId="31" fillId="0" borderId="1"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74" fontId="12" fillId="4" borderId="1" xfId="0" applyFont="true" applyBorder="true" applyAlignment="true" applyProtection="false">
      <alignment horizontal="right" vertical="bottom" textRotation="0" wrapText="false" indent="0" shrinkToFit="false"/>
      <protection locked="true" hidden="false"/>
    </xf>
    <xf numFmtId="165" fontId="34" fillId="0" borderId="1" xfId="0" applyFont="true" applyBorder="true" applyAlignment="true" applyProtection="false">
      <alignment horizontal="right" vertical="bottom" textRotation="0" wrapText="false" indent="0" shrinkToFit="false"/>
      <protection locked="true" hidden="false"/>
    </xf>
    <xf numFmtId="170" fontId="12" fillId="4"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7" fontId="28" fillId="0" borderId="1" xfId="0" applyFont="true" applyBorder="true" applyAlignment="true" applyProtection="false">
      <alignment horizontal="right" vertical="bottom" textRotation="0" wrapText="false" indent="0" shrinkToFit="false"/>
      <protection locked="true" hidden="false"/>
    </xf>
    <xf numFmtId="175" fontId="12" fillId="4" borderId="1" xfId="0" applyFont="true" applyBorder="true" applyAlignment="true" applyProtection="false">
      <alignment horizontal="right" vertical="bottom" textRotation="0" wrapText="false" indent="0" shrinkToFit="false"/>
      <protection locked="true" hidden="false"/>
    </xf>
    <xf numFmtId="170" fontId="13" fillId="0" borderId="1" xfId="0" applyFont="true" applyBorder="true" applyAlignment="true" applyProtection="false">
      <alignment horizontal="right" vertical="bottom" textRotation="0" wrapText="false" indent="0" shrinkToFit="false"/>
      <protection locked="true" hidden="false"/>
    </xf>
    <xf numFmtId="167" fontId="19" fillId="0" borderId="1" xfId="0" applyFont="true" applyBorder="true" applyAlignment="true" applyProtection="false">
      <alignment horizontal="right" vertical="bottom" textRotation="0" wrapText="false" indent="0" shrinkToFit="false"/>
      <protection locked="true" hidden="false"/>
    </xf>
    <xf numFmtId="174" fontId="13" fillId="0"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5" fontId="28"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2" fontId="13" fillId="0" borderId="1" xfId="0" applyFont="true" applyBorder="true" applyAlignment="true" applyProtection="false">
      <alignment horizontal="right" vertical="bottom" textRotation="0" wrapText="false" indent="0" shrinkToFit="false"/>
      <protection locked="true" hidden="false"/>
    </xf>
    <xf numFmtId="172" fontId="15" fillId="8" borderId="1" xfId="0" applyFont="true" applyBorder="true" applyAlignment="true" applyProtection="false">
      <alignment horizontal="right" vertical="bottom" textRotation="0" wrapText="false" indent="0" shrinkToFit="false"/>
      <protection locked="true" hidden="false"/>
    </xf>
    <xf numFmtId="172" fontId="12" fillId="4" borderId="1" xfId="0" applyFont="true" applyBorder="true" applyAlignment="true" applyProtection="false">
      <alignment horizontal="right" vertical="bottom" textRotation="0" wrapText="false" indent="0" shrinkToFit="false"/>
      <protection locked="true" hidden="false"/>
    </xf>
    <xf numFmtId="172" fontId="15" fillId="0" borderId="1" xfId="0" applyFont="true" applyBorder="true" applyAlignment="true" applyProtection="false">
      <alignment horizontal="right" vertical="bottom" textRotation="0" wrapText="false" indent="0" shrinkToFit="false"/>
      <protection locked="true" hidden="false"/>
    </xf>
    <xf numFmtId="166" fontId="15" fillId="8" borderId="1" xfId="0" applyFont="true" applyBorder="true" applyAlignment="true" applyProtection="false">
      <alignment horizontal="right" vertical="bottom" textRotation="0" wrapText="false" indent="0" shrinkToFit="false"/>
      <protection locked="true" hidden="false"/>
    </xf>
    <xf numFmtId="164" fontId="28" fillId="0" borderId="0" xfId="0" applyFont="true" applyBorder="true" applyAlignment="true" applyProtection="false">
      <alignment horizontal="left"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right" vertical="bottom" textRotation="0" wrapText="false" indent="0" shrinkToFit="false"/>
      <protection locked="true" hidden="false"/>
    </xf>
    <xf numFmtId="164" fontId="14" fillId="7" borderId="2" xfId="0" applyFont="true" applyBorder="true" applyAlignment="true" applyProtection="false">
      <alignment horizontal="right" vertical="bottom" textRotation="0" wrapText="false" indent="0" shrinkToFit="false"/>
      <protection locked="true" hidden="false"/>
    </xf>
    <xf numFmtId="171" fontId="15" fillId="7" borderId="1" xfId="0" applyFont="true" applyBorder="true" applyAlignment="true" applyProtection="false">
      <alignment horizontal="right"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5" fillId="7" borderId="3" xfId="0" applyFont="true" applyBorder="true" applyAlignment="true" applyProtection="false">
      <alignment horizontal="general" vertical="bottom" textRotation="0" wrapText="false" indent="0" shrinkToFit="false"/>
      <protection locked="true" hidden="false"/>
    </xf>
    <xf numFmtId="167" fontId="15" fillId="7" borderId="3" xfId="0" applyFont="true" applyBorder="true" applyAlignment="true" applyProtection="false">
      <alignment horizontal="right" vertical="bottom" textRotation="0" wrapText="false" indent="0" shrinkToFit="false"/>
      <protection locked="true" hidden="false"/>
    </xf>
    <xf numFmtId="166" fontId="36" fillId="0" borderId="1" xfId="0" applyFont="true" applyBorder="true" applyAlignment="true" applyProtection="false">
      <alignment horizontal="right" vertical="bottom" textRotation="0" wrapText="false" indent="0" shrinkToFit="false"/>
      <protection locked="true" hidden="false"/>
    </xf>
    <xf numFmtId="164" fontId="36" fillId="2" borderId="0" xfId="0" applyFont="true" applyBorder="false" applyAlignment="true" applyProtection="false">
      <alignment horizontal="general" vertical="bottom" textRotation="0" wrapText="false" indent="0" shrinkToFit="false"/>
      <protection locked="true" hidden="false"/>
    </xf>
    <xf numFmtId="166" fontId="36" fillId="2" borderId="1" xfId="0" applyFont="true" applyBorder="true" applyAlignment="true" applyProtection="false">
      <alignment horizontal="right"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6" fontId="28" fillId="0" borderId="1" xfId="0" applyFont="true" applyBorder="true" applyAlignment="true" applyProtection="false">
      <alignment horizontal="right" vertical="bottom" textRotation="0" wrapText="false" indent="0" shrinkToFit="false"/>
      <protection locked="true" hidden="false"/>
    </xf>
    <xf numFmtId="164" fontId="15" fillId="0" borderId="1" xfId="0" applyFont="true" applyBorder="true" applyAlignment="true" applyProtection="false">
      <alignment horizontal="left" vertical="bottom" textRotation="0" wrapText="false" indent="0" shrinkToFit="false"/>
      <protection locked="true" hidden="false"/>
    </xf>
    <xf numFmtId="171" fontId="28" fillId="0" borderId="1" xfId="0" applyFont="true" applyBorder="true" applyAlignment="true" applyProtection="false">
      <alignment horizontal="right" vertical="bottom" textRotation="0" wrapText="false" indent="0" shrinkToFit="false"/>
      <protection locked="true" hidden="false"/>
    </xf>
    <xf numFmtId="166" fontId="13" fillId="8" borderId="1"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7" fontId="38" fillId="0" borderId="1" xfId="0" applyFont="true" applyBorder="true" applyAlignment="true" applyProtection="false">
      <alignment horizontal="right" vertical="bottom" textRotation="0" wrapText="false" indent="0" shrinkToFit="false"/>
      <protection locked="true" hidden="false"/>
    </xf>
    <xf numFmtId="166" fontId="29" fillId="0" borderId="1" xfId="0" applyFont="true" applyBorder="true" applyAlignment="true" applyProtection="false">
      <alignment horizontal="right" vertical="bottom" textRotation="0" wrapText="false" indent="0" shrinkToFit="false"/>
      <protection locked="true" hidden="false"/>
    </xf>
    <xf numFmtId="164" fontId="31" fillId="0" borderId="1" xfId="0" applyFont="true" applyBorder="true" applyAlignment="true" applyProtection="false">
      <alignment horizontal="left" vertical="bottom" textRotation="0" wrapText="false" indent="0" shrinkToFit="false"/>
      <protection locked="true" hidden="false"/>
    </xf>
    <xf numFmtId="166" fontId="26" fillId="0" borderId="1" xfId="0" applyFont="true" applyBorder="true" applyAlignment="true" applyProtection="false">
      <alignment horizontal="right" vertical="bottom" textRotation="0" wrapText="false" indent="0" shrinkToFit="false"/>
      <protection locked="true" hidden="false"/>
    </xf>
    <xf numFmtId="164" fontId="39" fillId="2"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40" fillId="7" borderId="3" xfId="0" applyFont="true" applyBorder="true" applyAlignment="true" applyProtection="false">
      <alignment horizontal="general" vertical="bottom" textRotation="0" wrapText="false" indent="0" shrinkToFit="false"/>
      <protection locked="true" hidden="false"/>
    </xf>
    <xf numFmtId="167" fontId="40" fillId="7" borderId="3" xfId="0" applyFont="true" applyBorder="true" applyAlignment="true" applyProtection="false">
      <alignment horizontal="right"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right" vertical="bottom"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7" fontId="9" fillId="8" borderId="0" xfId="0" applyFont="true" applyBorder="false" applyAlignment="true" applyProtection="false">
      <alignment horizontal="right" vertical="bottom" textRotation="0" wrapText="false" indent="0" shrinkToFit="false"/>
      <protection locked="true" hidden="false"/>
    </xf>
    <xf numFmtId="167" fontId="25"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13" fillId="4" borderId="0" xfId="0" applyFont="true" applyBorder="false" applyAlignment="true" applyProtection="false">
      <alignment horizontal="right" vertical="bottom" textRotation="0" wrapText="false" indent="0" shrinkToFit="false"/>
      <protection locked="true" hidden="false"/>
    </xf>
    <xf numFmtId="167" fontId="19" fillId="4" borderId="0" xfId="0" applyFont="true" applyBorder="false" applyAlignment="true" applyProtection="false">
      <alignment horizontal="right" vertical="bottom" textRotation="0" wrapText="false" indent="0" shrinkToFit="false"/>
      <protection locked="true" hidden="false"/>
    </xf>
    <xf numFmtId="167" fontId="19" fillId="5" borderId="0" xfId="0" applyFont="true" applyBorder="false" applyAlignment="true" applyProtection="false">
      <alignment horizontal="right"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7" fontId="9" fillId="7" borderId="3"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71" fontId="43" fillId="4" borderId="1" xfId="0" applyFont="true" applyBorder="true" applyAlignment="true" applyProtection="false">
      <alignment horizontal="center" vertical="center" textRotation="0" wrapText="false" indent="0" shrinkToFit="false"/>
      <protection locked="true" hidden="false"/>
    </xf>
    <xf numFmtId="171" fontId="19" fillId="0"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general" vertical="bottom" textRotation="0" wrapText="false" indent="0" shrinkToFit="false"/>
      <protection locked="true" hidden="false"/>
    </xf>
    <xf numFmtId="164" fontId="44" fillId="9" borderId="1" xfId="0" applyFont="true" applyBorder="true" applyAlignment="true" applyProtection="false">
      <alignment horizontal="center" vertical="center" textRotation="0" wrapText="false" indent="0" shrinkToFit="false"/>
      <protection locked="true" hidden="false"/>
    </xf>
    <xf numFmtId="164" fontId="45" fillId="6"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7" fontId="29" fillId="9" borderId="1" xfId="0" applyFont="true" applyBorder="true" applyAlignment="true" applyProtection="false">
      <alignment horizontal="right" vertical="bottom" textRotation="0" wrapText="false" indent="0" shrinkToFit="false"/>
      <protection locked="true" hidden="false"/>
    </xf>
    <xf numFmtId="167" fontId="29" fillId="6" borderId="1" xfId="0" applyFont="true" applyBorder="true" applyAlignment="true" applyProtection="false">
      <alignment horizontal="right" vertical="bottom" textRotation="0" wrapText="false" indent="0" shrinkToFit="false"/>
      <protection locked="true" hidden="false"/>
    </xf>
    <xf numFmtId="167" fontId="46" fillId="0" borderId="1" xfId="0" applyFont="true" applyBorder="true" applyAlignment="true" applyProtection="false">
      <alignment horizontal="right" vertical="bottom" textRotation="0" wrapText="false" indent="0" shrinkToFit="false"/>
      <protection locked="true" hidden="false"/>
    </xf>
    <xf numFmtId="176" fontId="12" fillId="4" borderId="1" xfId="0" applyFont="true" applyBorder="true" applyAlignment="true" applyProtection="false">
      <alignment horizontal="center" vertical="bottom" textRotation="0" wrapText="false" indent="0" shrinkToFit="false"/>
      <protection locked="true" hidden="false"/>
    </xf>
    <xf numFmtId="173" fontId="12" fillId="4" borderId="1" xfId="0" applyFont="true" applyBorder="tru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15" fillId="8" borderId="2" xfId="0" applyFont="true" applyBorder="true" applyAlignment="true" applyProtection="false">
      <alignment horizontal="right" vertical="bottom" textRotation="0" wrapText="false" indent="0" shrinkToFit="false"/>
      <protection locked="true" hidden="false"/>
    </xf>
    <xf numFmtId="171" fontId="13" fillId="0" borderId="1" xfId="0" applyFont="true" applyBorder="tru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1" fontId="47" fillId="0" borderId="1"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71" fontId="13" fillId="2" borderId="0" xfId="0" applyFont="true" applyBorder="false" applyAlignment="false" applyProtection="false">
      <alignment horizontal="general" vertical="bottom" textRotation="0" wrapText="false" indent="0" shrinkToFit="false"/>
      <protection locked="true" hidden="false"/>
    </xf>
    <xf numFmtId="164" fontId="43"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9" fillId="9" borderId="0" xfId="0" applyFont="true" applyBorder="false" applyAlignment="false" applyProtection="false">
      <alignment horizontal="general" vertical="bottom" textRotation="0" wrapText="false" indent="0" shrinkToFit="false"/>
      <protection locked="true" hidden="false"/>
    </xf>
    <xf numFmtId="164" fontId="50" fillId="6" borderId="0" xfId="0" applyFont="true" applyBorder="false" applyAlignment="false" applyProtection="false">
      <alignment horizontal="general" vertical="bottom" textRotation="0" wrapText="false" indent="0" shrinkToFit="false"/>
      <protection locked="true" hidden="false"/>
    </xf>
    <xf numFmtId="167" fontId="13" fillId="2" borderId="0" xfId="0" applyFont="true" applyBorder="false" applyAlignment="false" applyProtection="false">
      <alignment horizontal="general" vertical="bottom" textRotation="0" wrapText="false" indent="0" shrinkToFit="false"/>
      <protection locked="true" hidden="false"/>
    </xf>
    <xf numFmtId="177" fontId="26" fillId="0" borderId="0" xfId="0" applyFont="true" applyBorder="false" applyAlignment="true" applyProtection="false">
      <alignment horizontal="right" vertical="bottom" textRotation="0" wrapText="false" indent="0" shrinkToFit="false"/>
      <protection locked="true" hidden="false"/>
    </xf>
    <xf numFmtId="178" fontId="26" fillId="0" borderId="0" xfId="0" applyFont="true" applyBorder="false" applyAlignment="true" applyProtection="false">
      <alignment horizontal="right" vertical="bottom" textRotation="0" wrapText="false" indent="0" shrinkToFit="false"/>
      <protection locked="true" hidden="false"/>
    </xf>
    <xf numFmtId="171" fontId="26" fillId="0" borderId="0" xfId="0" applyFont="true" applyBorder="false" applyAlignment="true" applyProtection="false">
      <alignment horizontal="right" vertical="bottom" textRotation="0" wrapText="false" indent="0" shrinkToFit="false"/>
      <protection locked="true" hidden="false"/>
    </xf>
    <xf numFmtId="172" fontId="26"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21" activePane="bottomRight" state="frozen"/>
      <selection pane="topLeft" activeCell="A1" activeCellId="0" sqref="A1"/>
      <selection pane="topRight" activeCell="C1" activeCellId="0" sqref="C1"/>
      <selection pane="bottomLeft" activeCell="A21" activeCellId="0" sqref="A21"/>
      <selection pane="bottomRight" activeCell="D60" activeCellId="0" sqref="D60"/>
    </sheetView>
  </sheetViews>
  <sheetFormatPr defaultColWidth="8.55859375" defaultRowHeight="14.25" zeroHeight="false" outlineLevelRow="0" outlineLevelCol="0"/>
  <cols>
    <col collapsed="false" customWidth="true" hidden="false" outlineLevel="0" max="1" min="1" style="1" width="20"/>
    <col collapsed="false" customWidth="true" hidden="false" outlineLevel="0" max="2" min="2" style="1" width="40"/>
    <col collapsed="false" customWidth="true" hidden="false" outlineLevel="0" max="8" min="3" style="1" width="13"/>
    <col collapsed="false" customWidth="true" hidden="false" outlineLevel="0" max="9" min="9" style="1" width="60"/>
  </cols>
  <sheetData>
    <row r="1" customFormat="false" ht="17.25" hidden="false" customHeight="true" outlineLevel="0" collapsed="false">
      <c r="A1" s="2" t="s">
        <v>0</v>
      </c>
    </row>
    <row r="2" customFormat="false" ht="15" hidden="false" customHeight="true" outlineLevel="0" collapsed="false">
      <c r="A2" s="3" t="s">
        <v>1</v>
      </c>
    </row>
    <row r="3" customFormat="false" ht="14.25" hidden="false" customHeight="true" outlineLevel="0" collapsed="false">
      <c r="A3" s="4" t="s">
        <v>2</v>
      </c>
    </row>
    <row r="5" customFormat="false" ht="30" hidden="false" customHeight="true" outlineLevel="0" collapsed="false">
      <c r="A5" s="5" t="s">
        <v>3</v>
      </c>
      <c r="B5" s="5" t="s">
        <v>4</v>
      </c>
      <c r="C5" s="6" t="s">
        <v>5</v>
      </c>
      <c r="D5" s="6" t="s">
        <v>6</v>
      </c>
      <c r="E5" s="6" t="s">
        <v>7</v>
      </c>
      <c r="F5" s="7" t="s">
        <v>8</v>
      </c>
      <c r="G5" s="7" t="s">
        <v>9</v>
      </c>
      <c r="H5" s="7" t="s">
        <v>10</v>
      </c>
    </row>
    <row r="6" customFormat="false" ht="14.25" hidden="false" customHeight="true" outlineLevel="0" collapsed="false">
      <c r="A6" s="8" t="s">
        <v>11</v>
      </c>
      <c r="B6" s="9" t="s">
        <v>12</v>
      </c>
      <c r="C6" s="10" t="n">
        <v>250</v>
      </c>
      <c r="D6" s="10" t="n">
        <v>145</v>
      </c>
      <c r="E6" s="10" t="n">
        <v>95</v>
      </c>
      <c r="F6" s="11" t="n">
        <v>1.2</v>
      </c>
      <c r="G6" s="12" t="n">
        <v>222.5</v>
      </c>
      <c r="H6" s="13" t="n">
        <f aca="false">IF(N(F6)=0,"",G6/F6)</f>
        <v>185.416666666667</v>
      </c>
    </row>
    <row r="7" customFormat="false" ht="14.25" hidden="false" customHeight="true" outlineLevel="0" collapsed="false">
      <c r="A7" s="9"/>
      <c r="B7" s="9" t="s">
        <v>13</v>
      </c>
      <c r="C7" s="10" t="n">
        <v>250</v>
      </c>
      <c r="D7" s="10" t="n">
        <v>145</v>
      </c>
      <c r="E7" s="10" t="n">
        <v>95</v>
      </c>
      <c r="F7" s="11" t="n">
        <v>3</v>
      </c>
      <c r="G7" s="12" t="n">
        <v>393.5</v>
      </c>
      <c r="H7" s="13" t="n">
        <f aca="false">IF(N(F7)=0,"",G7/F7)</f>
        <v>131.166666666667</v>
      </c>
    </row>
    <row r="8" customFormat="false" ht="14.25" hidden="false" customHeight="true" outlineLevel="0" collapsed="false">
      <c r="A8" s="9"/>
      <c r="B8" s="9" t="s">
        <v>14</v>
      </c>
      <c r="C8" s="10" t="n">
        <v>250</v>
      </c>
      <c r="D8" s="10" t="n">
        <v>145</v>
      </c>
      <c r="E8" s="10" t="n">
        <v>95</v>
      </c>
      <c r="F8" s="11" t="n">
        <v>2</v>
      </c>
      <c r="G8" s="12" t="n">
        <v>298.5</v>
      </c>
      <c r="H8" s="13" t="n">
        <f aca="false">IF(N(F8)=0,"",G8/F8)</f>
        <v>149.25</v>
      </c>
    </row>
    <row r="9" customFormat="false" ht="14.25" hidden="false" customHeight="true" outlineLevel="0" collapsed="false">
      <c r="A9" s="9"/>
      <c r="B9" s="9" t="s">
        <v>15</v>
      </c>
      <c r="C9" s="10" t="n">
        <v>250</v>
      </c>
      <c r="D9" s="10" t="n">
        <v>145</v>
      </c>
      <c r="E9" s="10" t="n">
        <v>95</v>
      </c>
      <c r="F9" s="11" t="n">
        <v>2.7</v>
      </c>
      <c r="G9" s="12" t="n">
        <v>365</v>
      </c>
      <c r="H9" s="13" t="n">
        <f aca="false">IF(N(F9)=0,"",G9/F9)</f>
        <v>135.185185185185</v>
      </c>
    </row>
    <row r="10" customFormat="false" ht="14.25" hidden="false" customHeight="true" outlineLevel="0" collapsed="false">
      <c r="A10" s="9"/>
      <c r="B10" s="9" t="s">
        <v>16</v>
      </c>
      <c r="C10" s="10" t="n">
        <v>250</v>
      </c>
      <c r="D10" s="10" t="n">
        <v>145</v>
      </c>
      <c r="E10" s="10" t="n">
        <v>95</v>
      </c>
      <c r="F10" s="11" t="n">
        <v>2.3</v>
      </c>
      <c r="G10" s="12" t="n">
        <v>420</v>
      </c>
      <c r="H10" s="13" t="n">
        <f aca="false">IF(N(F10)=0,"",G10/F10)</f>
        <v>182.608695652174</v>
      </c>
    </row>
    <row r="11" customFormat="false" ht="14.25" hidden="false" customHeight="true" outlineLevel="0" collapsed="false">
      <c r="A11" s="9"/>
      <c r="B11" s="9" t="s">
        <v>17</v>
      </c>
      <c r="C11" s="10" t="n">
        <v>250</v>
      </c>
      <c r="D11" s="10" t="n">
        <v>145</v>
      </c>
      <c r="E11" s="10" t="n">
        <v>95</v>
      </c>
      <c r="F11" s="11" t="n">
        <v>6.5</v>
      </c>
      <c r="G11" s="12" t="n">
        <v>617.5</v>
      </c>
      <c r="H11" s="13" t="n">
        <f aca="false">IF(N(F11)=0,"",G11/F11)</f>
        <v>95</v>
      </c>
    </row>
    <row r="12" customFormat="false" ht="14.25" hidden="false" customHeight="true" outlineLevel="0" collapsed="false">
      <c r="A12" s="9"/>
      <c r="B12" s="9" t="s">
        <v>18</v>
      </c>
      <c r="C12" s="10" t="n">
        <v>250</v>
      </c>
      <c r="D12" s="10" t="n">
        <v>145</v>
      </c>
      <c r="E12" s="10" t="n">
        <v>95</v>
      </c>
      <c r="F12" s="11" t="n">
        <v>7.7</v>
      </c>
      <c r="G12" s="12" t="n">
        <v>840</v>
      </c>
      <c r="H12" s="13" t="n">
        <f aca="false">IF(N(F12)=0,"",G12/F12)</f>
        <v>109.090909090909</v>
      </c>
    </row>
    <row r="13" customFormat="false" ht="14.25" hidden="false" customHeight="true" outlineLevel="0" collapsed="false">
      <c r="A13" s="9"/>
      <c r="B13" s="9" t="s">
        <v>19</v>
      </c>
      <c r="C13" s="10" t="n">
        <v>250</v>
      </c>
      <c r="D13" s="10" t="n">
        <v>145</v>
      </c>
      <c r="E13" s="10" t="n">
        <v>95</v>
      </c>
      <c r="F13" s="11"/>
      <c r="G13" s="12"/>
      <c r="H13" s="13" t="str">
        <f aca="false">IF(N(F13)=0,"",G13/F13)</f>
        <v/>
      </c>
      <c r="I13" s="14" t="s">
        <v>20</v>
      </c>
    </row>
    <row r="14" customFormat="false" ht="14.25" hidden="false" customHeight="true" outlineLevel="0" collapsed="false">
      <c r="A14" s="9"/>
      <c r="B14" s="9" t="s">
        <v>21</v>
      </c>
      <c r="C14" s="10" t="n">
        <v>250</v>
      </c>
      <c r="D14" s="10" t="n">
        <v>145</v>
      </c>
      <c r="E14" s="10" t="n">
        <v>95</v>
      </c>
      <c r="F14" s="11" t="n">
        <v>2.7</v>
      </c>
      <c r="G14" s="12" t="n">
        <v>473.5</v>
      </c>
      <c r="H14" s="13" t="n">
        <f aca="false">IF(N(F14)=0,"",G14/F14)</f>
        <v>175.37037037037</v>
      </c>
    </row>
    <row r="15" customFormat="false" ht="14.25" hidden="false" customHeight="true" outlineLevel="0" collapsed="false">
      <c r="A15" s="9"/>
      <c r="B15" s="9" t="s">
        <v>22</v>
      </c>
      <c r="C15" s="10" t="n">
        <v>250</v>
      </c>
      <c r="D15" s="10" t="n">
        <v>145</v>
      </c>
      <c r="E15" s="10" t="n">
        <v>95</v>
      </c>
      <c r="F15" s="11" t="n">
        <v>1.2</v>
      </c>
      <c r="G15" s="12" t="n">
        <v>191.5</v>
      </c>
      <c r="H15" s="13" t="n">
        <f aca="false">IF(N(F15)=0,"",G15/F15)</f>
        <v>159.583333333333</v>
      </c>
    </row>
    <row r="16" customFormat="false" ht="14.25" hidden="false" customHeight="true" outlineLevel="0" collapsed="false">
      <c r="A16" s="9"/>
      <c r="B16" s="9" t="s">
        <v>23</v>
      </c>
      <c r="C16" s="10" t="n">
        <v>250</v>
      </c>
      <c r="D16" s="10" t="n">
        <v>145</v>
      </c>
      <c r="E16" s="10" t="n">
        <v>95</v>
      </c>
      <c r="F16" s="11" t="n">
        <v>10.2</v>
      </c>
      <c r="G16" s="12" t="n">
        <v>1201.5</v>
      </c>
      <c r="H16" s="13" t="n">
        <f aca="false">IF(N(F16)=0,"",G16/F16)</f>
        <v>117.794117647059</v>
      </c>
    </row>
    <row r="17" customFormat="false" ht="14.25" hidden="false" customHeight="true" outlineLevel="0" collapsed="false">
      <c r="A17" s="9"/>
      <c r="B17" s="9" t="s">
        <v>24</v>
      </c>
      <c r="C17" s="10" t="n">
        <v>250</v>
      </c>
      <c r="D17" s="10" t="n">
        <v>145</v>
      </c>
      <c r="E17" s="10" t="n">
        <v>95</v>
      </c>
      <c r="F17" s="11" t="n">
        <v>1</v>
      </c>
      <c r="G17" s="12" t="n">
        <v>95</v>
      </c>
      <c r="H17" s="13" t="n">
        <f aca="false">IF(N(F17)=0,"",G17/F17)</f>
        <v>95</v>
      </c>
    </row>
    <row r="18" customFormat="false" ht="14.25" hidden="false" customHeight="true" outlineLevel="0" collapsed="false">
      <c r="A18" s="9"/>
      <c r="B18" s="9" t="s">
        <v>25</v>
      </c>
      <c r="C18" s="10" t="n">
        <v>250</v>
      </c>
      <c r="D18" s="10" t="n">
        <v>145</v>
      </c>
      <c r="E18" s="10" t="n">
        <v>95</v>
      </c>
      <c r="F18" s="11" t="n">
        <v>9</v>
      </c>
      <c r="G18" s="12" t="n">
        <v>1010</v>
      </c>
      <c r="H18" s="13" t="n">
        <f aca="false">IF(N(F18)=0,"",G18/F18)</f>
        <v>112.222222222222</v>
      </c>
    </row>
    <row r="19" customFormat="false" ht="14.25" hidden="false" customHeight="true" outlineLevel="0" collapsed="false">
      <c r="A19" s="8" t="s">
        <v>26</v>
      </c>
      <c r="B19" s="9" t="s">
        <v>27</v>
      </c>
      <c r="C19" s="10" t="n">
        <v>250</v>
      </c>
      <c r="D19" s="10" t="n">
        <v>145</v>
      </c>
      <c r="E19" s="10" t="n">
        <v>95</v>
      </c>
      <c r="F19" s="11" t="n">
        <v>2.1</v>
      </c>
      <c r="G19" s="12" t="n">
        <v>246</v>
      </c>
      <c r="H19" s="13" t="n">
        <f aca="false">IF(N(F19)=0,"",G19/F19)</f>
        <v>117.142857142857</v>
      </c>
    </row>
    <row r="20" customFormat="false" ht="14.25" hidden="false" customHeight="true" outlineLevel="0" collapsed="false">
      <c r="A20" s="9"/>
      <c r="B20" s="9" t="s">
        <v>28</v>
      </c>
      <c r="C20" s="10" t="n">
        <v>250</v>
      </c>
      <c r="D20" s="10" t="n">
        <v>145</v>
      </c>
      <c r="E20" s="10" t="n">
        <v>95</v>
      </c>
      <c r="F20" s="11" t="n">
        <v>3</v>
      </c>
      <c r="G20" s="12" t="n">
        <v>393.5</v>
      </c>
      <c r="H20" s="13" t="n">
        <f aca="false">IF(N(F20)=0,"",G20/F20)</f>
        <v>131.166666666667</v>
      </c>
    </row>
    <row r="21" customFormat="false" ht="14.25" hidden="false" customHeight="true" outlineLevel="0" collapsed="false">
      <c r="A21" s="9"/>
      <c r="B21" s="9" t="s">
        <v>29</v>
      </c>
      <c r="C21" s="10" t="n">
        <v>250</v>
      </c>
      <c r="D21" s="10" t="n">
        <v>145</v>
      </c>
      <c r="E21" s="10" t="n">
        <v>95</v>
      </c>
      <c r="F21" s="11" t="n">
        <v>18.5</v>
      </c>
      <c r="G21" s="12" t="n">
        <v>2021</v>
      </c>
      <c r="H21" s="13" t="n">
        <f aca="false">IF(N(F21)=0,"",G21/F21)</f>
        <v>109.243243243243</v>
      </c>
    </row>
    <row r="22" customFormat="false" ht="14.25" hidden="false" customHeight="true" outlineLevel="0" collapsed="false">
      <c r="A22" s="9"/>
      <c r="B22" s="9" t="s">
        <v>30</v>
      </c>
      <c r="C22" s="10" t="n">
        <v>250</v>
      </c>
      <c r="D22" s="10" t="n">
        <v>145</v>
      </c>
      <c r="E22" s="10" t="n">
        <v>95</v>
      </c>
      <c r="F22" s="11" t="n">
        <v>1.1</v>
      </c>
      <c r="G22" s="12" t="n">
        <v>151</v>
      </c>
      <c r="H22" s="13" t="n">
        <f aca="false">IF(N(F22)=0,"",G22/F22)</f>
        <v>137.272727272727</v>
      </c>
    </row>
    <row r="23" customFormat="false" ht="14.25" hidden="false" customHeight="true" outlineLevel="0" collapsed="false">
      <c r="A23" s="9"/>
      <c r="B23" s="9" t="s">
        <v>31</v>
      </c>
      <c r="C23" s="10" t="n">
        <v>250</v>
      </c>
      <c r="D23" s="10" t="n">
        <v>145</v>
      </c>
      <c r="E23" s="10" t="n">
        <v>95</v>
      </c>
      <c r="F23" s="11" t="n">
        <v>1.3</v>
      </c>
      <c r="G23" s="12" t="n">
        <v>325</v>
      </c>
      <c r="H23" s="13" t="n">
        <f aca="false">IF(N(F23)=0,"",G23/F23)</f>
        <v>250</v>
      </c>
    </row>
    <row r="24" customFormat="false" ht="14.25" hidden="false" customHeight="true" outlineLevel="0" collapsed="false">
      <c r="A24" s="9"/>
      <c r="B24" s="9" t="s">
        <v>32</v>
      </c>
      <c r="C24" s="10" t="n">
        <v>250</v>
      </c>
      <c r="D24" s="10" t="n">
        <v>145</v>
      </c>
      <c r="E24" s="10" t="n">
        <v>95</v>
      </c>
      <c r="F24" s="11" t="n">
        <v>7.9</v>
      </c>
      <c r="G24" s="12" t="n">
        <v>1386</v>
      </c>
      <c r="H24" s="13" t="n">
        <f aca="false">IF(N(F24)=0,"",G24/F24)</f>
        <v>175.443037974684</v>
      </c>
    </row>
    <row r="25" customFormat="false" ht="14.25" hidden="false" customHeight="true" outlineLevel="0" collapsed="false">
      <c r="A25" s="9"/>
      <c r="B25" s="9" t="s">
        <v>33</v>
      </c>
      <c r="C25" s="10" t="n">
        <v>250</v>
      </c>
      <c r="D25" s="10" t="n">
        <v>145</v>
      </c>
      <c r="E25" s="10" t="n">
        <v>95</v>
      </c>
      <c r="F25" s="11" t="n">
        <v>1.1</v>
      </c>
      <c r="G25" s="12" t="n">
        <v>151</v>
      </c>
      <c r="H25" s="13" t="n">
        <f aca="false">IF(N(F25)=0,"",G25/F25)</f>
        <v>137.272727272727</v>
      </c>
    </row>
    <row r="26" customFormat="false" ht="14.25" hidden="false" customHeight="true" outlineLevel="0" collapsed="false">
      <c r="A26" s="9"/>
      <c r="B26" s="9" t="s">
        <v>34</v>
      </c>
      <c r="C26" s="10" t="n">
        <v>250</v>
      </c>
      <c r="D26" s="10" t="n">
        <v>145</v>
      </c>
      <c r="E26" s="10" t="n">
        <v>95</v>
      </c>
      <c r="F26" s="11"/>
      <c r="G26" s="12"/>
      <c r="H26" s="13" t="str">
        <f aca="false">IF(N(F26)=0,"",G26/F26)</f>
        <v/>
      </c>
      <c r="I26" s="14" t="s">
        <v>20</v>
      </c>
    </row>
    <row r="27" customFormat="false" ht="14.25" hidden="false" customHeight="true" outlineLevel="0" collapsed="false">
      <c r="A27" s="9"/>
      <c r="B27" s="9" t="s">
        <v>35</v>
      </c>
      <c r="C27" s="10" t="n">
        <v>250</v>
      </c>
      <c r="D27" s="10" t="n">
        <v>145</v>
      </c>
      <c r="E27" s="10" t="n">
        <v>95</v>
      </c>
      <c r="F27" s="11"/>
      <c r="G27" s="12"/>
      <c r="H27" s="13" t="str">
        <f aca="false">IF(N(F27)=0,"",G27/F27)</f>
        <v/>
      </c>
      <c r="I27" s="14" t="s">
        <v>20</v>
      </c>
    </row>
    <row r="28" customFormat="false" ht="14.25" hidden="false" customHeight="true" outlineLevel="0" collapsed="false">
      <c r="A28" s="9"/>
      <c r="B28" s="9" t="s">
        <v>36</v>
      </c>
      <c r="C28" s="10" t="n">
        <v>250</v>
      </c>
      <c r="D28" s="10" t="n">
        <v>145</v>
      </c>
      <c r="E28" s="10" t="n">
        <v>95</v>
      </c>
      <c r="F28" s="11" t="n">
        <v>218.4</v>
      </c>
      <c r="G28" s="12" t="n">
        <v>31142.5</v>
      </c>
      <c r="H28" s="13" t="n">
        <f aca="false">IF(N(F28)=0,"",G28/F28)</f>
        <v>142.593864468864</v>
      </c>
    </row>
    <row r="29" customFormat="false" ht="14.25" hidden="false" customHeight="true" outlineLevel="0" collapsed="false">
      <c r="A29" s="9"/>
      <c r="B29" s="9" t="s">
        <v>37</v>
      </c>
      <c r="C29" s="10" t="n">
        <v>250</v>
      </c>
      <c r="D29" s="10" t="n">
        <v>145</v>
      </c>
      <c r="E29" s="10" t="n">
        <v>95</v>
      </c>
      <c r="F29" s="11" t="n">
        <v>3.3</v>
      </c>
      <c r="G29" s="12" t="n">
        <v>360</v>
      </c>
      <c r="H29" s="13" t="n">
        <f aca="false">IF(N(F29)=0,"",G29/F29)</f>
        <v>109.090909090909</v>
      </c>
    </row>
    <row r="30" customFormat="false" ht="14.25" hidden="false" customHeight="true" outlineLevel="0" collapsed="false">
      <c r="A30" s="9"/>
      <c r="B30" s="9" t="s">
        <v>38</v>
      </c>
      <c r="C30" s="10" t="n">
        <v>250</v>
      </c>
      <c r="D30" s="10" t="n">
        <v>145</v>
      </c>
      <c r="E30" s="10" t="n">
        <v>95</v>
      </c>
      <c r="F30" s="11" t="n">
        <v>12</v>
      </c>
      <c r="G30" s="12" t="n">
        <v>1341.5</v>
      </c>
      <c r="H30" s="13" t="n">
        <f aca="false">IF(N(F30)=0,"",G30/F30)</f>
        <v>111.791666666667</v>
      </c>
    </row>
    <row r="31" customFormat="false" ht="14.25" hidden="false" customHeight="true" outlineLevel="0" collapsed="false">
      <c r="A31" s="9"/>
      <c r="B31" s="9" t="s">
        <v>39</v>
      </c>
      <c r="C31" s="10" t="n">
        <v>250</v>
      </c>
      <c r="D31" s="10" t="n">
        <v>145</v>
      </c>
      <c r="E31" s="10" t="n">
        <v>95</v>
      </c>
      <c r="F31" s="11" t="n">
        <v>2.6</v>
      </c>
      <c r="G31" s="12" t="n">
        <v>293.5</v>
      </c>
      <c r="H31" s="13" t="n">
        <f aca="false">IF(N(F31)=0,"",G31/F31)</f>
        <v>112.884615384615</v>
      </c>
    </row>
    <row r="32" customFormat="false" ht="14.25" hidden="false" customHeight="true" outlineLevel="0" collapsed="false">
      <c r="A32" s="9"/>
      <c r="B32" s="9" t="s">
        <v>40</v>
      </c>
      <c r="C32" s="10" t="n">
        <v>250</v>
      </c>
      <c r="D32" s="10" t="n">
        <v>145</v>
      </c>
      <c r="E32" s="10" t="n">
        <v>95</v>
      </c>
      <c r="F32" s="11"/>
      <c r="G32" s="12"/>
      <c r="H32" s="13" t="str">
        <f aca="false">IF(N(F32)=0,"",G32/F32)</f>
        <v/>
      </c>
      <c r="I32" s="14" t="s">
        <v>20</v>
      </c>
    </row>
    <row r="33" customFormat="false" ht="14.25" hidden="false" customHeight="true" outlineLevel="0" collapsed="false">
      <c r="A33" s="9"/>
      <c r="B33" s="9" t="s">
        <v>41</v>
      </c>
      <c r="C33" s="10" t="n">
        <v>250</v>
      </c>
      <c r="D33" s="10" t="n">
        <v>145</v>
      </c>
      <c r="E33" s="10" t="n">
        <v>95</v>
      </c>
      <c r="F33" s="11" t="n">
        <v>3.1</v>
      </c>
      <c r="G33" s="12" t="n">
        <v>418.5</v>
      </c>
      <c r="H33" s="13" t="n">
        <f aca="false">IF(N(F33)=0,"",G33/F33)</f>
        <v>135</v>
      </c>
    </row>
    <row r="34" customFormat="false" ht="14.25" hidden="false" customHeight="true" outlineLevel="0" collapsed="false">
      <c r="A34" s="9"/>
      <c r="B34" s="9" t="s">
        <v>42</v>
      </c>
      <c r="C34" s="10" t="n">
        <v>250</v>
      </c>
      <c r="D34" s="10" t="n">
        <v>145</v>
      </c>
      <c r="E34" s="10" t="n">
        <v>95</v>
      </c>
      <c r="F34" s="11" t="n">
        <v>26.8</v>
      </c>
      <c r="G34" s="12" t="n">
        <v>6033.5</v>
      </c>
      <c r="H34" s="13" t="n">
        <f aca="false">IF(N(F34)=0,"",G34/F34)</f>
        <v>225.130597014925</v>
      </c>
    </row>
    <row r="35" customFormat="false" ht="14.25" hidden="false" customHeight="true" outlineLevel="0" collapsed="false">
      <c r="A35" s="8" t="s">
        <v>43</v>
      </c>
      <c r="B35" s="9" t="s">
        <v>44</v>
      </c>
      <c r="C35" s="10" t="n">
        <v>250</v>
      </c>
      <c r="D35" s="10" t="n">
        <v>175</v>
      </c>
      <c r="E35" s="10" t="n">
        <v>100</v>
      </c>
      <c r="F35" s="11" t="n">
        <v>11.8</v>
      </c>
      <c r="G35" s="12" t="n">
        <v>2275</v>
      </c>
      <c r="H35" s="13" t="n">
        <f aca="false">IF(N(F35)=0,"",G35/F35)</f>
        <v>192.796610169492</v>
      </c>
    </row>
    <row r="36" customFormat="false" ht="14.25" hidden="false" customHeight="true" outlineLevel="0" collapsed="false">
      <c r="A36" s="9"/>
      <c r="B36" s="9" t="s">
        <v>45</v>
      </c>
      <c r="C36" s="9"/>
      <c r="D36" s="9"/>
      <c r="E36" s="9"/>
      <c r="F36" s="11" t="n">
        <v>5.7</v>
      </c>
      <c r="G36" s="12" t="n">
        <v>570</v>
      </c>
      <c r="H36" s="13" t="n">
        <f aca="false">IF(N(F36)=0,"",G36/F36)</f>
        <v>100</v>
      </c>
    </row>
    <row r="37" customFormat="false" ht="14.25" hidden="false" customHeight="true" outlineLevel="0" collapsed="false">
      <c r="A37" s="9"/>
      <c r="B37" s="9" t="s">
        <v>46</v>
      </c>
      <c r="C37" s="9"/>
      <c r="D37" s="9"/>
      <c r="E37" s="9"/>
      <c r="F37" s="11" t="n">
        <v>0.7</v>
      </c>
      <c r="G37" s="12" t="n">
        <v>70</v>
      </c>
      <c r="H37" s="13" t="n">
        <f aca="false">IF(N(F37)=0,"",G37/F37)</f>
        <v>100</v>
      </c>
    </row>
    <row r="38" customFormat="false" ht="14.25" hidden="false" customHeight="true" outlineLevel="0" collapsed="false">
      <c r="A38" s="9"/>
      <c r="B38" s="9" t="s">
        <v>47</v>
      </c>
      <c r="C38" s="9"/>
      <c r="D38" s="9"/>
      <c r="E38" s="9"/>
      <c r="F38" s="11" t="n">
        <v>1</v>
      </c>
      <c r="G38" s="12" t="n">
        <v>100</v>
      </c>
      <c r="H38" s="13" t="n">
        <f aca="false">IF(N(F38)=0,"",G38/F38)</f>
        <v>100</v>
      </c>
    </row>
    <row r="39" customFormat="false" ht="14.25" hidden="false" customHeight="true" outlineLevel="0" collapsed="false">
      <c r="A39" s="8" t="s">
        <v>48</v>
      </c>
      <c r="B39" s="9" t="s">
        <v>49</v>
      </c>
      <c r="C39" s="10" t="n">
        <v>250</v>
      </c>
      <c r="D39" s="10" t="n">
        <v>185</v>
      </c>
      <c r="E39" s="10" t="n">
        <v>100</v>
      </c>
      <c r="F39" s="11" t="n">
        <v>66.1</v>
      </c>
      <c r="G39" s="12" t="n">
        <v>10360</v>
      </c>
      <c r="H39" s="13" t="n">
        <f aca="false">IF(N(F39)=0,"",G39/F39)</f>
        <v>156.732223903177</v>
      </c>
    </row>
    <row r="40" customFormat="false" ht="14.25" hidden="false" customHeight="true" outlineLevel="0" collapsed="false">
      <c r="A40" s="9"/>
      <c r="B40" s="9" t="s">
        <v>50</v>
      </c>
      <c r="C40" s="9"/>
      <c r="D40" s="9"/>
      <c r="E40" s="9"/>
      <c r="F40" s="11" t="n">
        <v>46.2</v>
      </c>
      <c r="G40" s="12" t="n">
        <v>6045</v>
      </c>
      <c r="H40" s="13" t="n">
        <f aca="false">IF(N(F40)=0,"",G40/F40)</f>
        <v>130.844155844156</v>
      </c>
    </row>
    <row r="41" customFormat="false" ht="14.25" hidden="false" customHeight="true" outlineLevel="0" collapsed="false">
      <c r="A41" s="9"/>
      <c r="B41" s="9" t="s">
        <v>51</v>
      </c>
      <c r="C41" s="9"/>
      <c r="D41" s="9"/>
      <c r="E41" s="9"/>
      <c r="F41" s="11" t="n">
        <v>10</v>
      </c>
      <c r="G41" s="12" t="n">
        <v>1900</v>
      </c>
      <c r="H41" s="13" t="n">
        <f aca="false">IF(N(F41)=0,"",G41/F41)</f>
        <v>190</v>
      </c>
    </row>
    <row r="42" customFormat="false" ht="14.25" hidden="false" customHeight="true" outlineLevel="0" collapsed="false">
      <c r="A42" s="8" t="s">
        <v>52</v>
      </c>
      <c r="B42" s="9" t="s">
        <v>53</v>
      </c>
      <c r="C42" s="9"/>
      <c r="D42" s="9"/>
      <c r="E42" s="9"/>
      <c r="F42" s="11"/>
      <c r="G42" s="12"/>
      <c r="H42" s="13" t="str">
        <f aca="false">IF(N(F42)=0,"",G42/F42)</f>
        <v/>
      </c>
      <c r="I42" s="14" t="s">
        <v>20</v>
      </c>
    </row>
    <row r="43" customFormat="false" ht="14.25" hidden="false" customHeight="true" outlineLevel="0" collapsed="false">
      <c r="A43" s="9"/>
      <c r="B43" s="9" t="s">
        <v>54</v>
      </c>
      <c r="C43" s="10" t="n">
        <v>250</v>
      </c>
      <c r="D43" s="10" t="n">
        <v>145</v>
      </c>
      <c r="E43" s="10" t="n">
        <v>95</v>
      </c>
      <c r="F43" s="11" t="n">
        <v>35.1</v>
      </c>
      <c r="G43" s="12" t="n">
        <v>3982.5</v>
      </c>
      <c r="H43" s="13" t="n">
        <f aca="false">IF(N(F43)=0,"",G43/F43)</f>
        <v>113.461538461538</v>
      </c>
    </row>
    <row r="44" customFormat="false" ht="14.25" hidden="false" customHeight="true" outlineLevel="0" collapsed="false">
      <c r="A44" s="9"/>
      <c r="B44" s="9" t="s">
        <v>55</v>
      </c>
      <c r="C44" s="10" t="n">
        <v>250</v>
      </c>
      <c r="D44" s="10" t="n">
        <v>195</v>
      </c>
      <c r="E44" s="10" t="n">
        <v>105</v>
      </c>
      <c r="F44" s="11"/>
      <c r="G44" s="12"/>
      <c r="H44" s="13" t="str">
        <f aca="false">IF(N(F44)=0,"",G44/F44)</f>
        <v/>
      </c>
      <c r="I44" s="14" t="s">
        <v>20</v>
      </c>
    </row>
    <row r="45" customFormat="false" ht="14.25" hidden="false" customHeight="true" outlineLevel="0" collapsed="false">
      <c r="A45" s="9"/>
      <c r="B45" s="9" t="s">
        <v>56</v>
      </c>
      <c r="C45" s="10" t="n">
        <v>250</v>
      </c>
      <c r="D45" s="10" t="n">
        <v>160</v>
      </c>
      <c r="E45" s="10" t="n">
        <v>95</v>
      </c>
      <c r="F45" s="11"/>
      <c r="G45" s="12"/>
      <c r="H45" s="13" t="str">
        <f aca="false">IF(N(F45)=0,"",G45/F45)</f>
        <v/>
      </c>
      <c r="I45" s="14" t="s">
        <v>20</v>
      </c>
    </row>
    <row r="46" customFormat="false" ht="14.25" hidden="false" customHeight="true" outlineLevel="0" collapsed="false">
      <c r="A46" s="9"/>
      <c r="B46" s="9" t="s">
        <v>57</v>
      </c>
      <c r="C46" s="9"/>
      <c r="D46" s="9"/>
      <c r="E46" s="9"/>
      <c r="F46" s="11"/>
      <c r="G46" s="12"/>
      <c r="H46" s="13" t="str">
        <f aca="false">IF(N(F46)=0,"",G46/F46)</f>
        <v/>
      </c>
      <c r="I46" s="14" t="s">
        <v>20</v>
      </c>
    </row>
    <row r="47" customFormat="false" ht="14.25" hidden="false" customHeight="true" outlineLevel="0" collapsed="false">
      <c r="A47" s="9"/>
      <c r="B47" s="9" t="s">
        <v>58</v>
      </c>
      <c r="C47" s="9"/>
      <c r="D47" s="9"/>
      <c r="E47" s="9"/>
      <c r="F47" s="11" t="n">
        <v>2.5</v>
      </c>
      <c r="G47" s="12" t="n">
        <v>500</v>
      </c>
      <c r="H47" s="13" t="n">
        <f aca="false">IF(N(F47)=0,"",G47/F47)</f>
        <v>200</v>
      </c>
    </row>
    <row r="48" customFormat="false" ht="14.25" hidden="false" customHeight="true" outlineLevel="0" collapsed="false">
      <c r="A48" s="9"/>
      <c r="B48" s="9" t="s">
        <v>59</v>
      </c>
      <c r="C48" s="9"/>
      <c r="D48" s="9"/>
      <c r="E48" s="9"/>
      <c r="F48" s="11"/>
      <c r="G48" s="12"/>
      <c r="H48" s="13" t="str">
        <f aca="false">IF(N(F48)=0,"",G48/F48)</f>
        <v/>
      </c>
      <c r="I48" s="14" t="s">
        <v>20</v>
      </c>
    </row>
    <row r="49" customFormat="false" ht="14.25" hidden="false" customHeight="true" outlineLevel="0" collapsed="false">
      <c r="A49" s="9"/>
      <c r="B49" s="9" t="s">
        <v>60</v>
      </c>
      <c r="C49" s="10" t="n">
        <v>250</v>
      </c>
      <c r="D49" s="10" t="n">
        <v>175</v>
      </c>
      <c r="E49" s="10" t="n">
        <v>95</v>
      </c>
      <c r="F49" s="11" t="n">
        <v>14.9</v>
      </c>
      <c r="G49" s="12" t="n">
        <v>1415.5</v>
      </c>
      <c r="H49" s="13" t="n">
        <f aca="false">IF(N(F49)=0,"",G49/F49)</f>
        <v>95</v>
      </c>
    </row>
    <row r="50" customFormat="false" ht="14.25" hidden="false" customHeight="true" outlineLevel="0" collapsed="false">
      <c r="A50" s="9"/>
      <c r="B50" s="9" t="s">
        <v>61</v>
      </c>
      <c r="C50" s="10" t="n">
        <v>250</v>
      </c>
      <c r="D50" s="10" t="n">
        <v>150</v>
      </c>
      <c r="E50" s="10" t="n">
        <v>95</v>
      </c>
      <c r="F50" s="11"/>
      <c r="G50" s="12"/>
      <c r="H50" s="13" t="str">
        <f aca="false">IF(N(F50)=0,"",G50/F50)</f>
        <v/>
      </c>
      <c r="I50" s="14" t="s">
        <v>20</v>
      </c>
    </row>
    <row r="51" customFormat="false" ht="14.25" hidden="false" customHeight="true" outlineLevel="0" collapsed="false">
      <c r="A51" s="9"/>
      <c r="B51" s="9" t="s">
        <v>62</v>
      </c>
      <c r="C51" s="9"/>
      <c r="D51" s="9"/>
      <c r="E51" s="9"/>
      <c r="F51" s="11"/>
      <c r="G51" s="12"/>
      <c r="H51" s="13" t="str">
        <f aca="false">IF(N(F51)=0,"",G51/F51)</f>
        <v/>
      </c>
      <c r="I51" s="14" t="s">
        <v>20</v>
      </c>
    </row>
    <row r="52" customFormat="false" ht="14.25" hidden="false" customHeight="true" outlineLevel="0" collapsed="false">
      <c r="A52" s="9"/>
      <c r="B52" s="9" t="s">
        <v>63</v>
      </c>
      <c r="C52" s="9"/>
      <c r="D52" s="9"/>
      <c r="E52" s="9"/>
      <c r="F52" s="11" t="n">
        <v>8.8</v>
      </c>
      <c r="G52" s="12" t="n">
        <v>1980</v>
      </c>
      <c r="H52" s="13" t="n">
        <f aca="false">IF(N(F52)=0,"",G52/F52)</f>
        <v>225</v>
      </c>
    </row>
    <row r="53" customFormat="false" ht="14.25" hidden="false" customHeight="true" outlineLevel="0" collapsed="false">
      <c r="A53" s="9"/>
      <c r="B53" s="9" t="s">
        <v>64</v>
      </c>
      <c r="C53" s="10" t="n">
        <v>250</v>
      </c>
      <c r="D53" s="10" t="n">
        <v>175</v>
      </c>
      <c r="E53" s="10" t="n">
        <v>95</v>
      </c>
      <c r="F53" s="11" t="n">
        <v>5</v>
      </c>
      <c r="G53" s="12" t="n">
        <v>738.5</v>
      </c>
      <c r="H53" s="13" t="n">
        <f aca="false">IF(N(F53)=0,"",G53/F53)</f>
        <v>147.7</v>
      </c>
    </row>
    <row r="54" customFormat="false" ht="14.25" hidden="false" customHeight="true" outlineLevel="0" collapsed="false">
      <c r="A54" s="9"/>
      <c r="B54" s="9" t="s">
        <v>65</v>
      </c>
      <c r="C54" s="15" t="n">
        <v>250</v>
      </c>
      <c r="D54" s="10" t="n">
        <v>150</v>
      </c>
      <c r="E54" s="10" t="n">
        <v>95</v>
      </c>
      <c r="F54" s="11"/>
      <c r="G54" s="12"/>
      <c r="H54" s="13" t="str">
        <f aca="false">IF(N(F54)=0,"",G54/F54)</f>
        <v/>
      </c>
      <c r="I54" s="14" t="s">
        <v>20</v>
      </c>
    </row>
    <row r="55" customFormat="false" ht="14.25" hidden="false" customHeight="true" outlineLevel="0" collapsed="false">
      <c r="A55" s="9"/>
      <c r="B55" s="9" t="s">
        <v>66</v>
      </c>
      <c r="C55" s="10" t="n">
        <v>250</v>
      </c>
      <c r="D55" s="10" t="n">
        <v>185</v>
      </c>
      <c r="E55" s="10" t="n">
        <v>110</v>
      </c>
      <c r="F55" s="11" t="n">
        <v>9.3</v>
      </c>
      <c r="G55" s="12" t="n">
        <v>2240.5</v>
      </c>
      <c r="H55" s="13" t="n">
        <f aca="false">IF(N(F55)=0,"",G55/F55)</f>
        <v>240.913978494624</v>
      </c>
    </row>
    <row r="56" customFormat="false" ht="14.25" hidden="false" customHeight="true" outlineLevel="0" collapsed="false">
      <c r="A56" s="9"/>
      <c r="B56" s="9" t="s">
        <v>67</v>
      </c>
      <c r="C56" s="10" t="n">
        <v>250</v>
      </c>
      <c r="D56" s="10" t="n">
        <v>185</v>
      </c>
      <c r="E56" s="10" t="n">
        <v>115</v>
      </c>
      <c r="F56" s="11"/>
      <c r="G56" s="12"/>
      <c r="H56" s="13" t="str">
        <f aca="false">IF(N(F56)=0,"",G56/F56)</f>
        <v/>
      </c>
      <c r="I56" s="14" t="s">
        <v>20</v>
      </c>
    </row>
    <row r="57" customFormat="false" ht="14.25" hidden="false" customHeight="true" outlineLevel="0" collapsed="false">
      <c r="A57" s="9"/>
      <c r="B57" s="9" t="s">
        <v>68</v>
      </c>
      <c r="C57" s="10" t="n">
        <v>250</v>
      </c>
      <c r="D57" s="10" t="n">
        <v>175</v>
      </c>
      <c r="E57" s="10" t="n">
        <v>95</v>
      </c>
      <c r="F57" s="11" t="n">
        <v>2.5</v>
      </c>
      <c r="G57" s="12" t="n">
        <v>625</v>
      </c>
      <c r="H57" s="13" t="n">
        <f aca="false">IF(N(F57)=0,"",G57/F57)</f>
        <v>250</v>
      </c>
    </row>
    <row r="58" customFormat="false" ht="14.25" hidden="false" customHeight="true" outlineLevel="0" collapsed="false">
      <c r="A58" s="9"/>
      <c r="B58" s="9" t="s">
        <v>69</v>
      </c>
      <c r="C58" s="10" t="n">
        <v>250</v>
      </c>
      <c r="D58" s="10" t="n">
        <v>175</v>
      </c>
      <c r="E58" s="10" t="n">
        <v>95</v>
      </c>
      <c r="F58" s="11" t="n">
        <v>5.3</v>
      </c>
      <c r="G58" s="12" t="n">
        <v>503.5</v>
      </c>
      <c r="H58" s="13" t="n">
        <f aca="false">IF(N(F58)=0,"",G58/F58)</f>
        <v>95</v>
      </c>
    </row>
    <row r="59" customFormat="false" ht="14.25" hidden="false" customHeight="true" outlineLevel="0" collapsed="false">
      <c r="A59" s="16" t="s">
        <v>70</v>
      </c>
      <c r="B59" s="16" t="s">
        <v>71</v>
      </c>
      <c r="C59" s="17"/>
      <c r="D59" s="17"/>
      <c r="E59" s="17"/>
      <c r="F59" s="11" t="n">
        <v>40.3</v>
      </c>
      <c r="G59" s="12" t="n">
        <v>6782.5</v>
      </c>
      <c r="H59" s="13" t="n">
        <f aca="false">IF(N(F59)=0,"",G59/F59)</f>
        <v>168.300248138958</v>
      </c>
      <c r="I59" s="18" t="s">
        <v>72</v>
      </c>
    </row>
    <row r="60" customFormat="false" ht="14.25" hidden="false" customHeight="true" outlineLevel="0" collapsed="false">
      <c r="A60" s="19"/>
      <c r="B60" s="16" t="s">
        <v>73</v>
      </c>
      <c r="C60" s="17"/>
      <c r="D60" s="17"/>
      <c r="E60" s="17"/>
      <c r="F60" s="11" t="n">
        <v>15</v>
      </c>
      <c r="G60" s="12" t="n">
        <v>3375</v>
      </c>
      <c r="H60" s="13" t="n">
        <f aca="false">IF(N(F60)=0,"",G60/F60)</f>
        <v>225</v>
      </c>
      <c r="I60" s="18" t="s">
        <v>72</v>
      </c>
    </row>
    <row r="61" customFormat="false" ht="14.25" hidden="false" customHeight="true" outlineLevel="0" collapsed="false">
      <c r="B61" s="20" t="s">
        <v>74</v>
      </c>
      <c r="C61" s="21" t="n">
        <f aca="false">COUNT(C6:C58)</f>
        <v>42</v>
      </c>
    </row>
    <row r="62" customFormat="false" ht="14.25" hidden="false" customHeight="true" outlineLevel="0" collapsed="false">
      <c r="A62" s="22"/>
      <c r="B62" s="23" t="s">
        <v>75</v>
      </c>
      <c r="C62" s="24" t="n">
        <f aca="false">AVERAGE(C6:C60)</f>
        <v>250</v>
      </c>
      <c r="D62" s="24" t="n">
        <f aca="false">AVERAGE(D6:D60)</f>
        <v>153.214285714286</v>
      </c>
      <c r="E62" s="24" t="n">
        <f aca="false">AVERAGE(E6:E60)</f>
        <v>96.3095238095238</v>
      </c>
      <c r="F62" s="22"/>
      <c r="G62" s="22"/>
      <c r="H62" s="22"/>
      <c r="I62" s="14" t="s">
        <v>76</v>
      </c>
    </row>
    <row r="63" customFormat="false" ht="14.25" hidden="false" customHeight="true" outlineLevel="0" collapsed="false">
      <c r="B63" s="25" t="s">
        <v>77</v>
      </c>
      <c r="C63" s="26" t="n">
        <f aca="false">COUNT(C6:C60)</f>
        <v>42</v>
      </c>
      <c r="I63" s="14" t="s">
        <v>78</v>
      </c>
    </row>
    <row r="65" customFormat="false" ht="14.25" hidden="false" customHeight="true" outlineLevel="0" collapsed="false">
      <c r="A65" s="22"/>
      <c r="B65" s="23" t="s">
        <v>79</v>
      </c>
      <c r="C65" s="24" t="n">
        <f aca="false">IFERROR(SUMPRODUCT((C6:C60)*(F6:F60))/SUMPRODUCT((C6:C60&lt;&gt;"")*(F6:F60)),0)</f>
        <v>250</v>
      </c>
      <c r="D65" s="24" t="n">
        <f aca="false">IFERROR(SUMPRODUCT((D6:D60)*(F6:F60))/SUMPRODUCT((D6:D60&lt;&gt;"")*(F6:F60)),0)</f>
        <v>153.390253644897</v>
      </c>
      <c r="E65" s="24" t="n">
        <f aca="false">IFERROR(SUMPRODUCT((E6:E60)*(F6:F60))/SUMPRODUCT((E6:E60&lt;&gt;"")*(F6:F60)),0)</f>
        <v>96.0565208707809</v>
      </c>
      <c r="F65" s="22"/>
      <c r="G65" s="22"/>
      <c r="H65" s="22"/>
      <c r="I65" s="14" t="s">
        <v>80</v>
      </c>
    </row>
    <row r="67" customFormat="false" ht="14.25" hidden="false" customHeight="true" outlineLevel="0" collapsed="false">
      <c r="A67" s="27"/>
      <c r="B67" s="28" t="s">
        <v>81</v>
      </c>
      <c r="C67" s="27"/>
      <c r="D67" s="27"/>
      <c r="E67" s="27"/>
      <c r="F67" s="27"/>
      <c r="G67" s="27"/>
      <c r="H67" s="27"/>
      <c r="I67" s="27"/>
    </row>
    <row r="68" customFormat="false" ht="14.25" hidden="false" customHeight="true" outlineLevel="0" collapsed="false">
      <c r="A68" s="29" t="s">
        <v>82</v>
      </c>
      <c r="B68" s="25" t="s">
        <v>83</v>
      </c>
      <c r="F68" s="30" t="n">
        <f aca="false">SUM(F6:F60)</f>
        <v>630.9</v>
      </c>
      <c r="G68" s="31" t="n">
        <f aca="false">SUM(G6:G60)</f>
        <v>93854.5</v>
      </c>
      <c r="H68" s="32" t="n">
        <f aca="false">IFERROR(G68/F68,0)</f>
        <v>148.762878427643</v>
      </c>
      <c r="I68" s="14" t="s">
        <v>84</v>
      </c>
    </row>
    <row r="69" customFormat="false" ht="14.25" hidden="false" customHeight="true" outlineLevel="0" collapsed="false">
      <c r="A69" s="29" t="s">
        <v>85</v>
      </c>
      <c r="B69" s="33" t="s">
        <v>86</v>
      </c>
      <c r="F69" s="34" t="n">
        <f aca="false">F68*7</f>
        <v>4416.3</v>
      </c>
      <c r="G69" s="35" t="n">
        <f aca="false">SUM('Forecast 2026'!$B$11:$H$11)</f>
        <v>690796.75</v>
      </c>
      <c r="H69" s="32" t="n">
        <f aca="false">IFERROR(G69/F69,0)</f>
        <v>156.419797115232</v>
      </c>
      <c r="I69" s="14" t="s">
        <v>87</v>
      </c>
    </row>
    <row r="70" customFormat="false" ht="14.25" hidden="false" customHeight="true" outlineLevel="0" collapsed="false">
      <c r="A70" s="36"/>
      <c r="B70" s="25" t="s">
        <v>88</v>
      </c>
      <c r="C70" s="37"/>
      <c r="D70" s="36"/>
      <c r="E70" s="36"/>
      <c r="F70" s="36"/>
      <c r="G70" s="36"/>
      <c r="H70" s="32" t="n">
        <f aca="false">IFERROR((('Monthly Capacity'!$N$22+'Monthly Capacity'!$N$23)*C62+'Monthly Capacity'!$N$24*D62+('Monthly Capacity'!$N$25+'Monthly Capacity'!$N$26+'Monthly Capacity'!$N$27)*E62)/'Monthly Capacity'!$N$28,0)</f>
        <v>158.594922060177</v>
      </c>
      <c r="I70" s="14" t="s">
        <v>89</v>
      </c>
    </row>
    <row r="71" customFormat="false" ht="14.25" hidden="false" customHeight="true" outlineLevel="0" collapsed="false">
      <c r="A71" s="38"/>
      <c r="B71" s="39" t="s">
        <v>90</v>
      </c>
      <c r="C71" s="40" t="n">
        <v>2</v>
      </c>
      <c r="D71" s="41"/>
      <c r="E71" s="41"/>
      <c r="F71" s="38"/>
      <c r="G71" s="38"/>
      <c r="H71" s="42" t="n">
        <f aca="false">IFERROR(CHOOSE($C$71,H68/H70,H69/H70,1),1)</f>
        <v>0.986285027813695</v>
      </c>
      <c r="I71" s="14" t="s">
        <v>91</v>
      </c>
    </row>
    <row r="72" customFormat="false" ht="14.25" hidden="false" customHeight="true" outlineLevel="0" collapsed="false">
      <c r="A72" s="22"/>
      <c r="B72" s="23" t="s">
        <v>92</v>
      </c>
      <c r="C72" s="24" t="n">
        <f aca="false">C62*$H$71</f>
        <v>246.571256953424</v>
      </c>
      <c r="D72" s="24" t="n">
        <f aca="false">D62*$H$71</f>
        <v>151.11295604717</v>
      </c>
      <c r="E72" s="24" t="n">
        <f aca="false">E62*$H$71</f>
        <v>94.9886413691999</v>
      </c>
      <c r="F72" s="22"/>
      <c r="G72" s="22"/>
      <c r="H72" s="22"/>
      <c r="I72" s="14" t="s">
        <v>93</v>
      </c>
    </row>
    <row r="73" customFormat="false" ht="12.75" hidden="false" customHeight="true" outlineLevel="0" collapsed="false">
      <c r="B73" s="43" t="s">
        <v>94</v>
      </c>
      <c r="C73" s="43"/>
      <c r="D73" s="43"/>
      <c r="E73" s="43"/>
      <c r="F73" s="43"/>
      <c r="G73" s="43"/>
      <c r="H73" s="43"/>
      <c r="I73" s="43"/>
    </row>
    <row r="74" customFormat="false" ht="12.75" hidden="false" customHeight="true" outlineLevel="0" collapsed="false">
      <c r="B74" s="43" t="s">
        <v>95</v>
      </c>
      <c r="C74" s="43"/>
      <c r="D74" s="43"/>
      <c r="E74" s="43"/>
      <c r="F74" s="43"/>
      <c r="G74" s="43"/>
      <c r="H74" s="43"/>
      <c r="I74" s="43"/>
    </row>
    <row r="75" customFormat="false" ht="12.75" hidden="false" customHeight="true" outlineLevel="0" collapsed="false">
      <c r="B75" s="43" t="s">
        <v>96</v>
      </c>
      <c r="C75" s="43"/>
      <c r="D75" s="43"/>
      <c r="E75" s="43"/>
      <c r="F75" s="43"/>
      <c r="G75" s="43"/>
      <c r="H75" s="43"/>
      <c r="I75" s="43"/>
    </row>
    <row r="76" customFormat="false" ht="12.75" hidden="false" customHeight="true" outlineLevel="0" collapsed="false">
      <c r="B76" s="43" t="s">
        <v>97</v>
      </c>
      <c r="C76" s="43"/>
      <c r="D76" s="43"/>
      <c r="E76" s="43"/>
      <c r="F76" s="43"/>
      <c r="G76" s="43"/>
      <c r="H76" s="43"/>
      <c r="I76" s="43"/>
    </row>
  </sheetData>
  <mergeCells count="4">
    <mergeCell ref="B73:I73"/>
    <mergeCell ref="B74:I74"/>
    <mergeCell ref="B75:I75"/>
    <mergeCell ref="B76:I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6" activeCellId="0" sqref="B16"/>
    </sheetView>
  </sheetViews>
  <sheetFormatPr defaultColWidth="8.55859375" defaultRowHeight="14.2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3" min="3" style="1" width="52"/>
  </cols>
  <sheetData>
    <row r="1" customFormat="false" ht="17.25" hidden="false" customHeight="true" outlineLevel="0" collapsed="false">
      <c r="A1" s="2" t="s">
        <v>0</v>
      </c>
    </row>
    <row r="2" customFormat="false" ht="15" hidden="false" customHeight="true" outlineLevel="0" collapsed="false">
      <c r="A2" s="3" t="s">
        <v>98</v>
      </c>
    </row>
    <row r="3" customFormat="false" ht="14.25" hidden="false" customHeight="true" outlineLevel="0" collapsed="false">
      <c r="A3" s="20" t="s">
        <v>99</v>
      </c>
    </row>
    <row r="5" customFormat="false" ht="14.25" hidden="false" customHeight="true" outlineLevel="0" collapsed="false">
      <c r="A5" s="44" t="s">
        <v>100</v>
      </c>
      <c r="B5" s="45"/>
      <c r="C5" s="45"/>
    </row>
    <row r="6" customFormat="false" ht="14.25" hidden="false" customHeight="true" outlineLevel="0" collapsed="false">
      <c r="A6" s="46" t="s">
        <v>101</v>
      </c>
      <c r="B6" s="47" t="n">
        <v>40</v>
      </c>
      <c r="C6" s="4" t="s">
        <v>102</v>
      </c>
    </row>
    <row r="7" customFormat="false" ht="14.25" hidden="false" customHeight="true" outlineLevel="0" collapsed="false">
      <c r="A7" s="46" t="s">
        <v>103</v>
      </c>
      <c r="B7" s="47" t="n">
        <v>4</v>
      </c>
      <c r="C7" s="48" t="s">
        <v>104</v>
      </c>
    </row>
    <row r="8" customFormat="false" ht="14.25" hidden="false" customHeight="true" outlineLevel="0" collapsed="false">
      <c r="A8" s="46" t="s">
        <v>105</v>
      </c>
      <c r="B8" s="49" t="n">
        <f aca="false">B6*B7</f>
        <v>160</v>
      </c>
      <c r="C8" s="4" t="s">
        <v>106</v>
      </c>
    </row>
    <row r="9" customFormat="false" ht="14.25" hidden="false" customHeight="true" outlineLevel="0" collapsed="false">
      <c r="A9" s="46" t="s">
        <v>107</v>
      </c>
      <c r="B9" s="50" t="n">
        <v>20</v>
      </c>
      <c r="C9" s="20" t="s">
        <v>108</v>
      </c>
    </row>
    <row r="10" customFormat="false" ht="14.25" hidden="false" customHeight="true" outlineLevel="0" collapsed="false">
      <c r="A10" s="46" t="s">
        <v>109</v>
      </c>
      <c r="B10" s="49" t="n">
        <f aca="false">B8-B9</f>
        <v>140</v>
      </c>
      <c r="C10" s="4" t="s">
        <v>110</v>
      </c>
    </row>
    <row r="11" customFormat="false" ht="14.25" hidden="false" customHeight="true" outlineLevel="0" collapsed="false">
      <c r="A11" s="46" t="s">
        <v>111</v>
      </c>
      <c r="B11" s="50" t="n">
        <v>80</v>
      </c>
      <c r="C11" s="20" t="s">
        <v>112</v>
      </c>
    </row>
    <row r="12" customFormat="false" ht="14.25" hidden="false" customHeight="true" outlineLevel="0" collapsed="false">
      <c r="A12" s="46" t="s">
        <v>113</v>
      </c>
      <c r="B12" s="50" t="n">
        <v>56</v>
      </c>
      <c r="C12" s="20" t="s">
        <v>114</v>
      </c>
    </row>
    <row r="13" customFormat="false" ht="14.25" hidden="false" customHeight="true" outlineLevel="0" collapsed="false">
      <c r="A13" s="46" t="s">
        <v>115</v>
      </c>
      <c r="B13" s="49" t="n">
        <f aca="false">(B11+B12)/12</f>
        <v>11.3333333333333</v>
      </c>
      <c r="C13" s="48" t="s">
        <v>116</v>
      </c>
    </row>
    <row r="14" customFormat="false" ht="14.25" hidden="false" customHeight="true" outlineLevel="0" collapsed="false">
      <c r="A14" s="46" t="s">
        <v>117</v>
      </c>
      <c r="B14" s="49" t="n">
        <f aca="false">B10-B13</f>
        <v>128.666666666667</v>
      </c>
      <c r="C14" s="48" t="s">
        <v>110</v>
      </c>
    </row>
    <row r="15" customFormat="false" ht="14.25" hidden="false" customHeight="true" outlineLevel="0" collapsed="false">
      <c r="A15" s="33" t="s">
        <v>118</v>
      </c>
      <c r="B15" s="51" t="n">
        <v>0.91</v>
      </c>
      <c r="C15" s="4" t="s">
        <v>119</v>
      </c>
    </row>
    <row r="16" customFormat="false" ht="14.25" hidden="false" customHeight="true" outlineLevel="0" collapsed="false">
      <c r="A16" s="46" t="s">
        <v>120</v>
      </c>
      <c r="B16" s="52" t="n">
        <f aca="false">'Monthly Capacity'!$N$14</f>
        <v>2088</v>
      </c>
      <c r="C16" s="4" t="s">
        <v>121</v>
      </c>
    </row>
    <row r="17" customFormat="false" ht="14.25" hidden="false" customHeight="true" outlineLevel="0" collapsed="false">
      <c r="A17" s="48" t="s">
        <v>122</v>
      </c>
    </row>
    <row r="18" customFormat="false" ht="14.25" hidden="false" customHeight="true" outlineLevel="0" collapsed="false">
      <c r="A18" s="44" t="s">
        <v>123</v>
      </c>
      <c r="B18" s="45"/>
      <c r="C18" s="45"/>
    </row>
    <row r="19" customFormat="false" ht="14.25" hidden="false" customHeight="true" outlineLevel="0" collapsed="false">
      <c r="A19" s="46" t="s">
        <v>124</v>
      </c>
      <c r="B19" s="51" t="n">
        <v>0.062</v>
      </c>
      <c r="C19" s="20" t="s">
        <v>125</v>
      </c>
    </row>
    <row r="20" customFormat="false" ht="14.25" hidden="false" customHeight="true" outlineLevel="0" collapsed="false">
      <c r="A20" s="46" t="s">
        <v>126</v>
      </c>
      <c r="B20" s="53" t="n">
        <v>184500</v>
      </c>
      <c r="C20" s="20" t="s">
        <v>127</v>
      </c>
    </row>
    <row r="21" customFormat="false" ht="14.25" hidden="false" customHeight="true" outlineLevel="0" collapsed="false">
      <c r="A21" s="46" t="s">
        <v>128</v>
      </c>
      <c r="B21" s="51" t="n">
        <v>0.0145</v>
      </c>
      <c r="C21" s="20" t="s">
        <v>129</v>
      </c>
    </row>
    <row r="22" customFormat="false" ht="14.25" hidden="false" customHeight="true" outlineLevel="0" collapsed="false">
      <c r="A22" s="46" t="s">
        <v>130</v>
      </c>
      <c r="B22" s="51" t="n">
        <v>0.006</v>
      </c>
      <c r="C22" s="20" t="s">
        <v>131</v>
      </c>
    </row>
    <row r="23" customFormat="false" ht="14.25" hidden="false" customHeight="true" outlineLevel="0" collapsed="false">
      <c r="A23" s="46" t="s">
        <v>132</v>
      </c>
      <c r="B23" s="53" t="n">
        <v>7000</v>
      </c>
      <c r="C23" s="20" t="s">
        <v>133</v>
      </c>
    </row>
    <row r="24" customFormat="false" ht="14.25" hidden="false" customHeight="true" outlineLevel="0" collapsed="false">
      <c r="A24" s="46" t="s">
        <v>134</v>
      </c>
      <c r="B24" s="54" t="n">
        <v>0.0139</v>
      </c>
      <c r="C24" s="20" t="s">
        <v>135</v>
      </c>
    </row>
    <row r="25" customFormat="false" ht="14.25" hidden="false" customHeight="true" outlineLevel="0" collapsed="false">
      <c r="A25" s="46" t="s">
        <v>136</v>
      </c>
      <c r="B25" s="53" t="n">
        <v>8000</v>
      </c>
      <c r="C25" s="20" t="s">
        <v>137</v>
      </c>
    </row>
    <row r="27" customFormat="false" ht="14.25" hidden="false" customHeight="true" outlineLevel="0" collapsed="false">
      <c r="A27" s="44" t="s">
        <v>138</v>
      </c>
      <c r="B27" s="45"/>
      <c r="C27" s="45"/>
    </row>
    <row r="28" customFormat="false" ht="14.25" hidden="false" customHeight="true" outlineLevel="0" collapsed="false">
      <c r="A28" s="46" t="s">
        <v>139</v>
      </c>
      <c r="B28" s="53" t="n">
        <v>184500</v>
      </c>
      <c r="C28" s="20" t="s">
        <v>140</v>
      </c>
    </row>
    <row r="29" customFormat="false" ht="14.25" hidden="false" customHeight="true" outlineLevel="0" collapsed="false">
      <c r="A29" s="46" t="s">
        <v>141</v>
      </c>
      <c r="B29" s="51" t="n">
        <v>0.5</v>
      </c>
      <c r="C29" s="20" t="s">
        <v>142</v>
      </c>
    </row>
    <row r="30" customFormat="false" ht="14.25" hidden="false" customHeight="true" outlineLevel="0" collapsed="false">
      <c r="A30" s="46" t="s">
        <v>143</v>
      </c>
      <c r="B30" s="55" t="n">
        <f aca="false">1-B29</f>
        <v>0.5</v>
      </c>
      <c r="C30" s="20" t="s">
        <v>144</v>
      </c>
    </row>
    <row r="32" customFormat="false" ht="14.25" hidden="false" customHeight="true" outlineLevel="0" collapsed="false">
      <c r="A32" s="28" t="s">
        <v>145</v>
      </c>
      <c r="B32" s="27"/>
      <c r="C32" s="27"/>
    </row>
    <row r="33" customFormat="false" ht="14.25" hidden="false" customHeight="true" outlineLevel="0" collapsed="false">
      <c r="A33" s="25" t="s">
        <v>146</v>
      </c>
      <c r="B33" s="56" t="n">
        <f aca="false">CHOOSE($B$36,'Bill Rates'!$C$62,'Bill Rates'!$C$65,'Bill Rates'!$C$72)</f>
        <v>246.571256953424</v>
      </c>
      <c r="C33" s="4" t="s">
        <v>147</v>
      </c>
    </row>
    <row r="34" customFormat="false" ht="14.25" hidden="false" customHeight="true" outlineLevel="0" collapsed="false">
      <c r="A34" s="25" t="s">
        <v>148</v>
      </c>
      <c r="B34" s="56" t="n">
        <f aca="false">CHOOSE($B$36,'Bill Rates'!$D$62,'Bill Rates'!$D$65,'Bill Rates'!$D$72)</f>
        <v>151.11295604717</v>
      </c>
      <c r="C34" s="4" t="s">
        <v>149</v>
      </c>
    </row>
    <row r="35" customFormat="false" ht="14.25" hidden="false" customHeight="true" outlineLevel="0" collapsed="false">
      <c r="A35" s="25" t="s">
        <v>150</v>
      </c>
      <c r="B35" s="56" t="n">
        <f aca="false">CHOOSE($B$36,'Bill Rates'!$E$62,'Bill Rates'!$E$65,'Bill Rates'!$E$72)</f>
        <v>94.9886413691999</v>
      </c>
      <c r="C35" s="4" t="s">
        <v>151</v>
      </c>
    </row>
    <row r="36" customFormat="false" ht="14.25" hidden="false" customHeight="true" outlineLevel="0" collapsed="false">
      <c r="A36" s="33" t="s">
        <v>152</v>
      </c>
      <c r="B36" s="57" t="n">
        <v>3</v>
      </c>
      <c r="C36" s="4" t="s">
        <v>153</v>
      </c>
    </row>
    <row r="38" customFormat="false" ht="14.25" hidden="false" customHeight="true" outlineLevel="0" collapsed="false">
      <c r="A38" s="33" t="s">
        <v>154</v>
      </c>
      <c r="B38" s="57" t="n">
        <v>1</v>
      </c>
      <c r="C38" s="4" t="s">
        <v>155</v>
      </c>
    </row>
    <row r="40" customFormat="false" ht="14.25" hidden="false" customHeight="true" outlineLevel="0" collapsed="false">
      <c r="A40" s="33" t="s">
        <v>156</v>
      </c>
      <c r="B40" s="57" t="n">
        <v>1</v>
      </c>
      <c r="C40" s="4"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E6" activePane="bottomRight" state="frozen"/>
      <selection pane="topLeft" activeCell="A1" activeCellId="0" sqref="A1"/>
      <selection pane="topRight" activeCell="E1" activeCellId="0" sqref="E1"/>
      <selection pane="bottomLeft" activeCell="A6" activeCellId="0" sqref="A6"/>
      <selection pane="bottomRight" activeCell="S7" activeCellId="0" sqref="S7"/>
    </sheetView>
  </sheetViews>
  <sheetFormatPr defaultColWidth="8.55859375" defaultRowHeight="14.2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3" min="3" style="1" width="16"/>
    <col collapsed="false" customWidth="true" hidden="false" outlineLevel="0" max="4" min="4" style="1" width="13"/>
    <col collapsed="false" customWidth="true" hidden="false" outlineLevel="0" max="5" min="5" style="1" width="14"/>
    <col collapsed="false" customWidth="true" hidden="false" outlineLevel="0" max="7" min="6" style="1" width="11"/>
    <col collapsed="false" customWidth="true" hidden="false" outlineLevel="0" max="9" min="8" style="1" width="10"/>
    <col collapsed="false" customWidth="true" hidden="false" outlineLevel="0" max="12" min="10" style="1" width="12"/>
    <col collapsed="false" customWidth="true" hidden="false" outlineLevel="0" max="13" min="13" style="1" width="14"/>
    <col collapsed="false" customWidth="true" hidden="false" outlineLevel="0" max="14" min="14" style="1" width="13"/>
    <col collapsed="false" customWidth="true" hidden="false" outlineLevel="0" max="15" min="15" style="1" width="11"/>
    <col collapsed="false" customWidth="true" hidden="false" outlineLevel="0" max="16" min="16" style="1" width="13"/>
    <col collapsed="false" customWidth="true" hidden="false" outlineLevel="0" max="17" min="17" style="1" width="12"/>
    <col collapsed="false" customWidth="true" hidden="false" outlineLevel="0" max="18" min="18" style="1" width="10"/>
    <col collapsed="false" customWidth="true" hidden="false" outlineLevel="0" max="19" min="19" style="1" width="13"/>
    <col collapsed="false" customWidth="true" hidden="false" outlineLevel="0" max="20" min="20" style="1" width="10"/>
    <col collapsed="false" customWidth="true" hidden="false" outlineLevel="0" max="22" min="21" style="1" width="12"/>
    <col collapsed="false" customWidth="true" hidden="false" outlineLevel="0" max="23" min="23" style="1" width="13"/>
    <col collapsed="false" customWidth="true" hidden="false" outlineLevel="0" max="24" min="24" style="1" width="9"/>
  </cols>
  <sheetData>
    <row r="1" customFormat="false" ht="17.25" hidden="false" customHeight="true" outlineLevel="0" collapsed="false">
      <c r="A1" s="2" t="s">
        <v>0</v>
      </c>
    </row>
    <row r="2" customFormat="false" ht="15" hidden="false" customHeight="true" outlineLevel="0" collapsed="false">
      <c r="A2" s="3" t="s">
        <v>158</v>
      </c>
    </row>
    <row r="3" customFormat="false" ht="14.25" hidden="false" customHeight="true" outlineLevel="0" collapsed="false">
      <c r="A3" s="4" t="s">
        <v>159</v>
      </c>
    </row>
    <row r="4" customFormat="false" ht="14.25" hidden="false" customHeight="true" outlineLevel="0" collapsed="false">
      <c r="A4" s="45"/>
      <c r="B4" s="45"/>
      <c r="C4" s="45"/>
      <c r="D4" s="58" t="s">
        <v>160</v>
      </c>
      <c r="E4" s="58"/>
      <c r="F4" s="58"/>
      <c r="G4" s="58"/>
      <c r="H4" s="58"/>
      <c r="I4" s="58"/>
      <c r="J4" s="58"/>
      <c r="K4" s="58"/>
      <c r="L4" s="58"/>
      <c r="M4" s="58"/>
      <c r="N4" s="58"/>
      <c r="O4" s="58"/>
      <c r="P4" s="58" t="s">
        <v>161</v>
      </c>
      <c r="Q4" s="58"/>
      <c r="R4" s="58"/>
      <c r="S4" s="58"/>
      <c r="T4" s="58"/>
      <c r="U4" s="58"/>
      <c r="V4" s="58"/>
      <c r="W4" s="58"/>
      <c r="X4" s="58"/>
    </row>
    <row r="5" customFormat="false" ht="30" hidden="false" customHeight="true" outlineLevel="0" collapsed="false">
      <c r="A5" s="59" t="s">
        <v>162</v>
      </c>
      <c r="B5" s="59" t="s">
        <v>163</v>
      </c>
      <c r="C5" s="59" t="s">
        <v>164</v>
      </c>
      <c r="D5" s="59" t="s">
        <v>165</v>
      </c>
      <c r="E5" s="59" t="s">
        <v>166</v>
      </c>
      <c r="F5" s="59" t="s">
        <v>167</v>
      </c>
      <c r="G5" s="59" t="s">
        <v>168</v>
      </c>
      <c r="H5" s="59" t="s">
        <v>169</v>
      </c>
      <c r="I5" s="59" t="s">
        <v>170</v>
      </c>
      <c r="J5" s="59" t="s">
        <v>171</v>
      </c>
      <c r="K5" s="7" t="s">
        <v>172</v>
      </c>
      <c r="L5" s="59" t="s">
        <v>173</v>
      </c>
      <c r="M5" s="7" t="s">
        <v>174</v>
      </c>
      <c r="N5" s="59" t="s">
        <v>175</v>
      </c>
      <c r="O5" s="59" t="s">
        <v>176</v>
      </c>
      <c r="P5" s="7" t="s">
        <v>177</v>
      </c>
      <c r="Q5" s="7" t="s">
        <v>178</v>
      </c>
      <c r="R5" s="59" t="s">
        <v>179</v>
      </c>
      <c r="S5" s="59" t="s">
        <v>180</v>
      </c>
      <c r="T5" s="59" t="s">
        <v>181</v>
      </c>
      <c r="U5" s="59" t="s">
        <v>182</v>
      </c>
      <c r="V5" s="59" t="s">
        <v>183</v>
      </c>
      <c r="W5" s="59" t="s">
        <v>184</v>
      </c>
      <c r="X5" s="59" t="s">
        <v>185</v>
      </c>
    </row>
    <row r="6" customFormat="false" ht="14.25" hidden="false" customHeight="true" outlineLevel="0" collapsed="false">
      <c r="A6" s="60" t="s">
        <v>186</v>
      </c>
      <c r="B6" s="9" t="s">
        <v>5</v>
      </c>
      <c r="C6" s="61" t="s">
        <v>187</v>
      </c>
      <c r="D6" s="62" t="n">
        <f aca="false">Assumptions!$B$28</f>
        <v>184500</v>
      </c>
      <c r="E6" s="63" t="n">
        <f aca="false">D6</f>
        <v>184500</v>
      </c>
      <c r="F6" s="63" t="n">
        <f aca="false">Assumptions!$B$19*MIN(E6,Assumptions!$B$20)</f>
        <v>11439</v>
      </c>
      <c r="G6" s="63" t="n">
        <f aca="false">Assumptions!$B$21*E6</f>
        <v>2675.25</v>
      </c>
      <c r="H6" s="63" t="n">
        <f aca="false">Assumptions!$B$22*MIN(E6,Assumptions!$B$23)</f>
        <v>42</v>
      </c>
      <c r="I6" s="63" t="n">
        <f aca="false">Assumptions!$B$24*MIN(E6,Assumptions!$B$25)</f>
        <v>111.2</v>
      </c>
      <c r="J6" s="63" t="n">
        <f aca="false">SUM(F6:I6)</f>
        <v>14267.45</v>
      </c>
      <c r="K6" s="64" t="n">
        <f aca="false">Benefits!$G$19</f>
        <v>345.248333333333</v>
      </c>
      <c r="L6" s="63" t="n">
        <f aca="false">K6*12</f>
        <v>4142.98</v>
      </c>
      <c r="M6" s="31" t="n">
        <f aca="false">E6+J6+L6+J18</f>
        <v>202910.43</v>
      </c>
      <c r="N6" s="63" t="n">
        <f aca="false">M6/12</f>
        <v>16909.2025</v>
      </c>
      <c r="O6" s="65" t="n">
        <f aca="false">M6/Assumptions!$B$16</f>
        <v>97.1793247126437</v>
      </c>
      <c r="P6" s="66" t="n">
        <f aca="false">'Monthly Capacity'!$N$22</f>
        <v>888.16</v>
      </c>
      <c r="Q6" s="66" t="n">
        <f aca="false">P6/12</f>
        <v>74.0133333333333</v>
      </c>
      <c r="R6" s="67" t="n">
        <f aca="false">Assumptions!$B$33</f>
        <v>246.571256953424</v>
      </c>
      <c r="S6" s="68" t="n">
        <f aca="false">'Monthly Capacity'!$N$31/12</f>
        <v>18249.5606313127</v>
      </c>
      <c r="T6" s="69" t="n">
        <f aca="false">IF(Assumptions!$B$38=2,IFERROR(MIN(1,'Monthly Capacity'!$N$22/('Monthly Capacity'!$N$13-'Monthly Capacity'!$P$22*12-'Monthly Capacity'!$R$22)),0),Assumptions!$B$29)</f>
        <v>0.5</v>
      </c>
      <c r="U6" s="63" t="n">
        <f aca="false">N6*T6</f>
        <v>8454.60125</v>
      </c>
      <c r="V6" s="63" t="n">
        <f aca="false">N6*(1-T6)</f>
        <v>8454.60125</v>
      </c>
      <c r="W6" s="70" t="n">
        <f aca="false">S6-U6</f>
        <v>9794.95938131273</v>
      </c>
      <c r="X6" s="71" t="n">
        <f aca="false">IF(S6=0,0,W6/S6)</f>
        <v>0.536723024690604</v>
      </c>
    </row>
    <row r="7" customFormat="false" ht="14.25" hidden="false" customHeight="true" outlineLevel="0" collapsed="false">
      <c r="A7" s="60" t="s">
        <v>188</v>
      </c>
      <c r="B7" s="9" t="s">
        <v>5</v>
      </c>
      <c r="C7" s="61" t="s">
        <v>189</v>
      </c>
      <c r="D7" s="72" t="n">
        <v>176000</v>
      </c>
      <c r="E7" s="63" t="n">
        <f aca="false">D7</f>
        <v>176000</v>
      </c>
      <c r="F7" s="63" t="n">
        <f aca="false">Assumptions!$B$19*MIN(E7,Assumptions!$B$20)</f>
        <v>10912</v>
      </c>
      <c r="G7" s="63" t="n">
        <f aca="false">Assumptions!$B$21*E7</f>
        <v>2552</v>
      </c>
      <c r="H7" s="63" t="n">
        <f aca="false">Assumptions!$B$22*MIN(E7,Assumptions!$B$23)</f>
        <v>42</v>
      </c>
      <c r="I7" s="63" t="n">
        <f aca="false">Assumptions!$B$24*MIN(E7,Assumptions!$B$25)</f>
        <v>111.2</v>
      </c>
      <c r="J7" s="63" t="n">
        <f aca="false">SUM(F7:I7)</f>
        <v>13617.2</v>
      </c>
      <c r="K7" s="64" t="n">
        <f aca="false">Benefits!$G$20</f>
        <v>341.706666666667</v>
      </c>
      <c r="L7" s="63" t="n">
        <f aca="false">K7*12</f>
        <v>4100.48</v>
      </c>
      <c r="M7" s="31" t="n">
        <f aca="false">E7+J7+L7+J19</f>
        <v>193717.68</v>
      </c>
      <c r="N7" s="63" t="n">
        <f aca="false">M7/12</f>
        <v>16143.14</v>
      </c>
      <c r="O7" s="65" t="n">
        <f aca="false">M7/Assumptions!$B$16</f>
        <v>92.7766666666667</v>
      </c>
      <c r="P7" s="66" t="n">
        <f aca="false">'Monthly Capacity'!$N$23</f>
        <v>1557.92</v>
      </c>
      <c r="Q7" s="66" t="n">
        <f aca="false">P7/12</f>
        <v>129.826666666667</v>
      </c>
      <c r="R7" s="67" t="n">
        <f aca="false">Assumptions!$B$33</f>
        <v>246.571256953424</v>
      </c>
      <c r="S7" s="68" t="n">
        <f aca="false">'Monthly Capacity'!$N$32/12</f>
        <v>32011.5243860731</v>
      </c>
      <c r="T7" s="73" t="n">
        <v>1</v>
      </c>
      <c r="U7" s="63" t="n">
        <f aca="false">N7*T7</f>
        <v>16143.14</v>
      </c>
      <c r="V7" s="63" t="n">
        <f aca="false">N7*(1-T7)</f>
        <v>0</v>
      </c>
      <c r="W7" s="70" t="n">
        <f aca="false">S7-U7</f>
        <v>15868.3843860731</v>
      </c>
      <c r="X7" s="71" t="n">
        <f aca="false">IF(S7=0,0,W7/S7)</f>
        <v>0.495708489064545</v>
      </c>
    </row>
    <row r="8" customFormat="false" ht="14.25" hidden="false" customHeight="true" outlineLevel="0" collapsed="false">
      <c r="A8" s="60" t="s">
        <v>190</v>
      </c>
      <c r="B8" s="9" t="s">
        <v>6</v>
      </c>
      <c r="C8" s="61" t="s">
        <v>191</v>
      </c>
      <c r="D8" s="10" t="n">
        <v>60</v>
      </c>
      <c r="E8" s="63" t="n">
        <f aca="false">D8*Assumptions!$B$16</f>
        <v>125280</v>
      </c>
      <c r="F8" s="63" t="n">
        <f aca="false">Assumptions!$B$19*MIN(E8,Assumptions!$B$20)</f>
        <v>7767.36</v>
      </c>
      <c r="G8" s="63" t="n">
        <f aca="false">Assumptions!$B$21*E8</f>
        <v>1816.56</v>
      </c>
      <c r="H8" s="63" t="n">
        <f aca="false">Assumptions!$B$22*MIN(E8,Assumptions!$B$23)</f>
        <v>42</v>
      </c>
      <c r="I8" s="63" t="n">
        <f aca="false">Assumptions!$B$24*MIN(E8,Assumptions!$B$25)</f>
        <v>111.2</v>
      </c>
      <c r="J8" s="63" t="n">
        <f aca="false">SUM(F8:I8)</f>
        <v>9737.12</v>
      </c>
      <c r="K8" s="64" t="n">
        <f aca="false">Benefits!$G$21</f>
        <v>236.051666666667</v>
      </c>
      <c r="L8" s="63" t="n">
        <f aca="false">K8*12</f>
        <v>2832.62</v>
      </c>
      <c r="M8" s="31" t="n">
        <f aca="false">E8+J8+L8+J20</f>
        <v>137849.74</v>
      </c>
      <c r="N8" s="63" t="n">
        <f aca="false">M8/12</f>
        <v>11487.4783333333</v>
      </c>
      <c r="O8" s="65" t="n">
        <f aca="false">M8/Assumptions!$B$16</f>
        <v>66.0199904214559</v>
      </c>
      <c r="P8" s="66" t="n">
        <f aca="false">'Monthly Capacity'!$N$24</f>
        <v>1557.92</v>
      </c>
      <c r="Q8" s="66" t="n">
        <f aca="false">P8/12</f>
        <v>129.826666666667</v>
      </c>
      <c r="R8" s="67" t="n">
        <f aca="false">Assumptions!$B$34</f>
        <v>151.11295604717</v>
      </c>
      <c r="S8" s="68" t="n">
        <f aca="false">'Monthly Capacity'!$N$33/12</f>
        <v>19618.4913737505</v>
      </c>
      <c r="T8" s="73" t="n">
        <v>1</v>
      </c>
      <c r="U8" s="63" t="n">
        <f aca="false">N8*T8</f>
        <v>11487.4783333333</v>
      </c>
      <c r="V8" s="63" t="n">
        <f aca="false">N8*(1-T8)</f>
        <v>0</v>
      </c>
      <c r="W8" s="70" t="n">
        <f aca="false">S8-U8</f>
        <v>8131.01304041721</v>
      </c>
      <c r="X8" s="71" t="n">
        <f aca="false">IF(S8=0,0,W8/S8)</f>
        <v>0.414456590239985</v>
      </c>
    </row>
    <row r="9" customFormat="false" ht="14.25" hidden="false" customHeight="true" outlineLevel="0" collapsed="false">
      <c r="A9" s="60" t="s">
        <v>192</v>
      </c>
      <c r="B9" s="9" t="s">
        <v>7</v>
      </c>
      <c r="C9" s="61" t="s">
        <v>191</v>
      </c>
      <c r="D9" s="17" t="n">
        <v>40</v>
      </c>
      <c r="E9" s="63" t="n">
        <f aca="false">D9*Assumptions!$B$16</f>
        <v>83520</v>
      </c>
      <c r="F9" s="63" t="n">
        <f aca="false">Assumptions!$B$19*MIN(E9,Assumptions!$B$20)</f>
        <v>5178.24</v>
      </c>
      <c r="G9" s="63" t="n">
        <f aca="false">Assumptions!$B$21*E9</f>
        <v>1211.04</v>
      </c>
      <c r="H9" s="63" t="n">
        <f aca="false">Assumptions!$B$22*MIN(E9,Assumptions!$B$23)</f>
        <v>42</v>
      </c>
      <c r="I9" s="63" t="n">
        <f aca="false">Assumptions!$B$24*MIN(E9,Assumptions!$B$25)</f>
        <v>111.2</v>
      </c>
      <c r="J9" s="63" t="n">
        <f aca="false">SUM(F9:I9)</f>
        <v>6542.48</v>
      </c>
      <c r="K9" s="64" t="n">
        <f aca="false">Benefits!$G$22</f>
        <v>119.788333333333</v>
      </c>
      <c r="L9" s="63" t="n">
        <f aca="false">K9*12</f>
        <v>1437.46</v>
      </c>
      <c r="M9" s="31" t="n">
        <f aca="false">E9+J9+L9+J21</f>
        <v>94197.2184</v>
      </c>
      <c r="N9" s="63" t="n">
        <f aca="false">M9/12</f>
        <v>7849.7682</v>
      </c>
      <c r="O9" s="65" t="n">
        <f aca="false">M9/Assumptions!$B$16</f>
        <v>45.1136103448276</v>
      </c>
      <c r="P9" s="66" t="n">
        <f aca="false">'Monthly Capacity'!$N$25</f>
        <v>1557.92</v>
      </c>
      <c r="Q9" s="66" t="n">
        <f aca="false">P9/12</f>
        <v>129.826666666667</v>
      </c>
      <c r="R9" s="67" t="n">
        <f aca="false">Assumptions!$B$35</f>
        <v>94.9886413691999</v>
      </c>
      <c r="S9" s="68" t="n">
        <f aca="false">'Monthly Capacity'!$N$34/12</f>
        <v>12332.0586801587</v>
      </c>
      <c r="T9" s="73" t="n">
        <v>1</v>
      </c>
      <c r="U9" s="63" t="n">
        <f aca="false">N9*T9</f>
        <v>7849.7682</v>
      </c>
      <c r="V9" s="63" t="n">
        <f aca="false">N9*(1-T9)</f>
        <v>0</v>
      </c>
      <c r="W9" s="70" t="n">
        <f aca="false">S9-U9</f>
        <v>4482.29048015866</v>
      </c>
      <c r="X9" s="71" t="n">
        <f aca="false">IF(S9=0,0,W9/S9)</f>
        <v>0.363466522209331</v>
      </c>
    </row>
    <row r="10" customFormat="false" ht="14.25" hidden="false" customHeight="true" outlineLevel="0" collapsed="false">
      <c r="A10" s="60" t="s">
        <v>193</v>
      </c>
      <c r="B10" s="9" t="s">
        <v>7</v>
      </c>
      <c r="C10" s="61" t="s">
        <v>194</v>
      </c>
      <c r="D10" s="72" t="n">
        <v>4200</v>
      </c>
      <c r="E10" s="63" t="n">
        <f aca="false">D10*12</f>
        <v>50400</v>
      </c>
      <c r="F10" s="63" t="n">
        <v>0</v>
      </c>
      <c r="G10" s="63" t="n">
        <v>0</v>
      </c>
      <c r="H10" s="63" t="n">
        <v>0</v>
      </c>
      <c r="I10" s="63" t="n">
        <v>0</v>
      </c>
      <c r="J10" s="63" t="n">
        <f aca="false">SUM(F10:I10)</f>
        <v>0</v>
      </c>
      <c r="K10" s="64" t="n">
        <f aca="false">Benefits!$G$23</f>
        <v>0</v>
      </c>
      <c r="L10" s="63" t="n">
        <f aca="false">K10*12</f>
        <v>0</v>
      </c>
      <c r="M10" s="31" t="n">
        <f aca="false">E10+J10+L10+J22</f>
        <v>50400</v>
      </c>
      <c r="N10" s="63" t="n">
        <f aca="false">M10/12</f>
        <v>4200</v>
      </c>
      <c r="O10" s="65" t="n">
        <f aca="false">M10/Assumptions!$B$16</f>
        <v>24.1379310344828</v>
      </c>
      <c r="P10" s="66" t="n">
        <f aca="false">'Monthly Capacity'!$N$26</f>
        <v>1630.72</v>
      </c>
      <c r="Q10" s="66" t="n">
        <f aca="false">P10/12</f>
        <v>135.893333333333</v>
      </c>
      <c r="R10" s="67" t="n">
        <f aca="false">Assumptions!$B$35</f>
        <v>94.9886413691999</v>
      </c>
      <c r="S10" s="68" t="n">
        <f aca="false">'Monthly Capacity'!$N$35/12</f>
        <v>12908.3231044651</v>
      </c>
      <c r="T10" s="73" t="n">
        <v>1</v>
      </c>
      <c r="U10" s="63" t="n">
        <f aca="false">N10*T10</f>
        <v>4200</v>
      </c>
      <c r="V10" s="63" t="n">
        <f aca="false">N10*(1-T10)</f>
        <v>0</v>
      </c>
      <c r="W10" s="70" t="n">
        <f aca="false">S10-U10</f>
        <v>8708.32310446513</v>
      </c>
      <c r="X10" s="71" t="n">
        <f aca="false">IF(S10=0,0,W10/S10)</f>
        <v>0.674628534937495</v>
      </c>
    </row>
    <row r="11" customFormat="false" ht="15" hidden="false" customHeight="true" outlineLevel="0" collapsed="false">
      <c r="A11" s="60" t="s">
        <v>195</v>
      </c>
      <c r="B11" s="9" t="s">
        <v>196</v>
      </c>
      <c r="C11" s="61" t="s">
        <v>189</v>
      </c>
      <c r="D11" s="72" t="n">
        <v>80000</v>
      </c>
      <c r="E11" s="63" t="n">
        <f aca="false">D11</f>
        <v>80000</v>
      </c>
      <c r="F11" s="63" t="n">
        <f aca="false">Assumptions!$B$19*MIN(E11,Assumptions!$B$20)</f>
        <v>4960</v>
      </c>
      <c r="G11" s="63" t="n">
        <f aca="false">Assumptions!$B$21*E11</f>
        <v>1160</v>
      </c>
      <c r="H11" s="63" t="n">
        <f aca="false">Assumptions!$B$22*MIN(E11,Assumptions!$B$23)</f>
        <v>42</v>
      </c>
      <c r="I11" s="63" t="n">
        <f aca="false">Assumptions!$B$24*MIN(E11,Assumptions!$B$25)</f>
        <v>111.2</v>
      </c>
      <c r="J11" s="63" t="n">
        <f aca="false">SUM(F11:I11)</f>
        <v>6273.2</v>
      </c>
      <c r="K11" s="64" t="n">
        <f aca="false">Benefits!$G$24</f>
        <v>118.321666666667</v>
      </c>
      <c r="L11" s="63" t="n">
        <f aca="false">K11*12</f>
        <v>1419.86</v>
      </c>
      <c r="M11" s="31" t="n">
        <f aca="false">E11+J11+L11+J23</f>
        <v>104055.86</v>
      </c>
      <c r="N11" s="63" t="n">
        <f aca="false">M11/12</f>
        <v>8671.32166666667</v>
      </c>
      <c r="O11" s="65" t="n">
        <f aca="false">M11/Assumptions!$B$16</f>
        <v>49.8351819923372</v>
      </c>
      <c r="P11" s="66" t="n">
        <f aca="false">'Monthly Capacity'!$N$27</f>
        <v>266.448</v>
      </c>
      <c r="Q11" s="66" t="n">
        <f aca="false">P11/12</f>
        <v>22.204</v>
      </c>
      <c r="R11" s="67" t="n">
        <f aca="false">Assumptions!$B$35</f>
        <v>94.9886413691999</v>
      </c>
      <c r="S11" s="68" t="n">
        <f aca="false">'Monthly Capacity'!$N$36/12</f>
        <v>2109.12779296171</v>
      </c>
      <c r="T11" s="73" t="n">
        <v>0.15</v>
      </c>
      <c r="U11" s="63" t="n">
        <f aca="false">N11*T11</f>
        <v>1300.69825</v>
      </c>
      <c r="V11" s="63" t="n">
        <f aca="false">N11*(1-T11)</f>
        <v>7370.62341666667</v>
      </c>
      <c r="W11" s="70" t="n">
        <f aca="false">S11-U11</f>
        <v>808.429542961714</v>
      </c>
      <c r="X11" s="71" t="n">
        <f aca="false">IF(S11=0,0,W11/S11)</f>
        <v>0.383300407713317</v>
      </c>
    </row>
    <row r="12" customFormat="false" ht="14.25" hidden="false" customHeight="true" outlineLevel="0" collapsed="false">
      <c r="A12" s="74" t="s">
        <v>197</v>
      </c>
      <c r="B12" s="75"/>
      <c r="C12" s="75"/>
      <c r="D12" s="75"/>
      <c r="E12" s="76" t="n">
        <f aca="false">SUM(E6:E11)</f>
        <v>699700</v>
      </c>
      <c r="F12" s="76" t="n">
        <f aca="false">SUM(F6:F11)</f>
        <v>40256.6</v>
      </c>
      <c r="G12" s="76" t="n">
        <f aca="false">SUM(G6:G11)</f>
        <v>9414.85</v>
      </c>
      <c r="H12" s="76" t="n">
        <f aca="false">SUM(H6:H11)</f>
        <v>210</v>
      </c>
      <c r="I12" s="76" t="n">
        <f aca="false">SUM(I6:I11)</f>
        <v>556</v>
      </c>
      <c r="J12" s="76" t="n">
        <f aca="false">SUM(J6:J11)</f>
        <v>50437.45</v>
      </c>
      <c r="K12" s="76" t="n">
        <f aca="false">SUM(K6:K11)</f>
        <v>1161.11666666667</v>
      </c>
      <c r="L12" s="76" t="n">
        <f aca="false">SUM(L6:L11)</f>
        <v>13933.4</v>
      </c>
      <c r="M12" s="76" t="n">
        <f aca="false">SUM(M6:M11)</f>
        <v>783130.9284</v>
      </c>
      <c r="N12" s="76" t="n">
        <f aca="false">SUM(N6:N11)</f>
        <v>65260.9107</v>
      </c>
      <c r="O12" s="77" t="n">
        <f aca="false">M12/Assumptions!$B$16</f>
        <v>375.062705172414</v>
      </c>
      <c r="P12" s="78" t="n">
        <f aca="false">SUM(P6:P11)</f>
        <v>7459.088</v>
      </c>
      <c r="Q12" s="78" t="n">
        <f aca="false">SUM(Q6:Q11)</f>
        <v>621.590666666667</v>
      </c>
      <c r="R12" s="75"/>
      <c r="S12" s="76" t="n">
        <f aca="false">SUM(S6:S11)</f>
        <v>97229.0859687219</v>
      </c>
      <c r="T12" s="75"/>
      <c r="U12" s="76" t="n">
        <f aca="false">SUM(U6:U11)</f>
        <v>49435.6860333333</v>
      </c>
      <c r="V12" s="76" t="n">
        <f aca="false">SUM(V6:V11)</f>
        <v>15825.2246666667</v>
      </c>
      <c r="W12" s="76" t="n">
        <f aca="false">SUM(W6:W11)</f>
        <v>47793.3999353886</v>
      </c>
      <c r="X12" s="79" t="n">
        <f aca="false">IF(S12=0,0,W12/S12)</f>
        <v>0.491554553446728</v>
      </c>
    </row>
    <row r="14" customFormat="false" ht="14.25" hidden="false" customHeight="true" outlineLevel="0" collapsed="false">
      <c r="A14" s="25"/>
      <c r="B14" s="25"/>
      <c r="C14" s="25"/>
      <c r="D14" s="25"/>
      <c r="E14" s="25"/>
      <c r="F14" s="25"/>
      <c r="G14" s="25"/>
      <c r="H14" s="25"/>
      <c r="I14" s="25"/>
      <c r="J14" s="25"/>
      <c r="K14" s="25"/>
      <c r="L14" s="25"/>
      <c r="M14" s="25"/>
      <c r="N14" s="25"/>
      <c r="O14" s="25"/>
      <c r="P14" s="25"/>
      <c r="Q14" s="25"/>
      <c r="R14" s="25"/>
      <c r="S14" s="25"/>
      <c r="T14" s="25"/>
      <c r="U14" s="25"/>
      <c r="V14" s="25"/>
      <c r="W14" s="25"/>
      <c r="X14" s="25"/>
    </row>
    <row r="15" customFormat="false" ht="14.25" hidden="false" customHeight="true" outlineLevel="0" collapsed="false">
      <c r="A15" s="80" t="s">
        <v>198</v>
      </c>
      <c r="B15" s="27"/>
      <c r="C15" s="27"/>
      <c r="D15" s="27"/>
      <c r="E15" s="27"/>
      <c r="F15" s="27"/>
      <c r="G15" s="27"/>
      <c r="H15" s="27"/>
      <c r="I15" s="27"/>
      <c r="J15" s="27"/>
      <c r="K15" s="4" t="s">
        <v>199</v>
      </c>
      <c r="L15" s="25"/>
      <c r="M15" s="25"/>
      <c r="N15" s="25"/>
      <c r="O15" s="25"/>
      <c r="P15" s="25"/>
      <c r="Q15" s="25"/>
      <c r="R15" s="25"/>
      <c r="S15" s="25"/>
      <c r="T15" s="25"/>
      <c r="U15" s="25"/>
      <c r="V15" s="25"/>
      <c r="W15" s="25"/>
      <c r="X15" s="25"/>
    </row>
    <row r="16" customFormat="false" ht="14.25" hidden="false" customHeight="true" outlineLevel="0" collapsed="false">
      <c r="A16" s="33" t="s">
        <v>200</v>
      </c>
      <c r="B16" s="81"/>
      <c r="C16" s="81"/>
      <c r="D16" s="82" t="n">
        <v>0</v>
      </c>
      <c r="E16" s="82" t="n">
        <v>0</v>
      </c>
      <c r="F16" s="82" t="n">
        <v>2</v>
      </c>
      <c r="G16" s="82" t="n">
        <v>2</v>
      </c>
      <c r="H16" s="25"/>
      <c r="I16" s="25"/>
      <c r="J16" s="25"/>
      <c r="K16" s="4" t="s">
        <v>201</v>
      </c>
      <c r="L16" s="25"/>
      <c r="M16" s="25"/>
      <c r="N16" s="25"/>
      <c r="O16" s="25"/>
      <c r="P16" s="25"/>
      <c r="Q16" s="25"/>
      <c r="R16" s="25"/>
      <c r="S16" s="25"/>
      <c r="T16" s="25"/>
      <c r="U16" s="25"/>
      <c r="V16" s="25"/>
      <c r="W16" s="25"/>
      <c r="X16" s="25"/>
    </row>
    <row r="17" customFormat="false" ht="27.75" hidden="false" customHeight="true" outlineLevel="0" collapsed="false">
      <c r="A17" s="7" t="s">
        <v>162</v>
      </c>
      <c r="B17" s="7" t="s">
        <v>202</v>
      </c>
      <c r="C17" s="7" t="s">
        <v>203</v>
      </c>
      <c r="D17" s="7" t="s">
        <v>204</v>
      </c>
      <c r="E17" s="7" t="s">
        <v>205</v>
      </c>
      <c r="F17" s="7" t="s">
        <v>206</v>
      </c>
      <c r="G17" s="7" t="s">
        <v>207</v>
      </c>
      <c r="H17" s="7" t="s">
        <v>208</v>
      </c>
      <c r="I17" s="7" t="s">
        <v>209</v>
      </c>
      <c r="J17" s="7" t="s">
        <v>210</v>
      </c>
      <c r="K17" s="25"/>
      <c r="L17" s="25"/>
      <c r="M17" s="25"/>
      <c r="N17" s="25"/>
      <c r="O17" s="25"/>
      <c r="P17" s="25"/>
      <c r="Q17" s="25"/>
      <c r="R17" s="25"/>
      <c r="S17" s="25"/>
      <c r="T17" s="25"/>
      <c r="U17" s="25"/>
      <c r="V17" s="25"/>
      <c r="W17" s="25"/>
      <c r="X17" s="25"/>
    </row>
    <row r="18" customFormat="false" ht="14.25" hidden="false" customHeight="true" outlineLevel="0" collapsed="false">
      <c r="A18" s="83" t="str">
        <f aca="false">A6</f>
        <v>Steven Nikolov</v>
      </c>
      <c r="B18" s="84" t="n">
        <v>0</v>
      </c>
      <c r="C18" s="85" t="n">
        <f aca="false">E6*B18</f>
        <v>0</v>
      </c>
      <c r="D18" s="85" t="n">
        <f aca="false">$C18/4*D$16</f>
        <v>0</v>
      </c>
      <c r="E18" s="85" t="n">
        <f aca="false">$C18/4*E$16</f>
        <v>0</v>
      </c>
      <c r="F18" s="85" t="n">
        <f aca="false">$C18/4*F$16</f>
        <v>0</v>
      </c>
      <c r="G18" s="85" t="n">
        <f aca="false">$C18/4*G$16</f>
        <v>0</v>
      </c>
      <c r="H18" s="31" t="n">
        <f aca="false">SUM(D18:G18)</f>
        <v>0</v>
      </c>
      <c r="I18" s="85" t="n">
        <f aca="false">Assumptions!$B$19*MIN(H18,MAX(0,Assumptions!$B$20-E6))+Assumptions!$B$21*H18</f>
        <v>0</v>
      </c>
      <c r="J18" s="31" t="n">
        <f aca="false">H18+I18</f>
        <v>0</v>
      </c>
      <c r="K18" s="25"/>
      <c r="L18" s="25"/>
      <c r="M18" s="25"/>
      <c r="N18" s="25"/>
      <c r="O18" s="25"/>
      <c r="P18" s="25"/>
      <c r="Q18" s="25"/>
      <c r="R18" s="25"/>
      <c r="S18" s="25"/>
      <c r="T18" s="25"/>
      <c r="U18" s="25"/>
      <c r="V18" s="25"/>
      <c r="W18" s="25"/>
      <c r="X18" s="25"/>
    </row>
    <row r="19" customFormat="false" ht="14.25" hidden="false" customHeight="true" outlineLevel="0" collapsed="false">
      <c r="A19" s="83" t="str">
        <f aca="false">A7</f>
        <v>Lisa Danforth</v>
      </c>
      <c r="B19" s="84" t="n">
        <v>0</v>
      </c>
      <c r="C19" s="85" t="n">
        <f aca="false">E7*B19</f>
        <v>0</v>
      </c>
      <c r="D19" s="85" t="n">
        <f aca="false">$C19/4*IF(Assumptions!$B$40=2,IF(D$16&gt;0,$H$42,0),D$16)</f>
        <v>0</v>
      </c>
      <c r="E19" s="85" t="n">
        <f aca="false">$C19/4*IF(Assumptions!$B$40=2,IF(E$16&gt;0,$H$42,0),E$16)</f>
        <v>0</v>
      </c>
      <c r="F19" s="85" t="n">
        <f aca="false">$C19/4*IF(Assumptions!$B$40=2,IF(F$16&gt;0,$H$42,0),F$16)</f>
        <v>0</v>
      </c>
      <c r="G19" s="85" t="n">
        <f aca="false">$C19/4*IF(Assumptions!$B$40=2,IF(G$16&gt;0,$H$42,0),G$16)</f>
        <v>0</v>
      </c>
      <c r="H19" s="31" t="n">
        <f aca="false">SUM(D19:G19)</f>
        <v>0</v>
      </c>
      <c r="I19" s="85" t="n">
        <f aca="false">Assumptions!$B$19*MIN(H19,MAX(0,Assumptions!$B$20-E7))+Assumptions!$B$21*H19</f>
        <v>0</v>
      </c>
      <c r="J19" s="31" t="n">
        <f aca="false">H19+I19</f>
        <v>0</v>
      </c>
    </row>
    <row r="20" customFormat="false" ht="14.25" hidden="false" customHeight="true" outlineLevel="0" collapsed="false">
      <c r="A20" s="83" t="str">
        <f aca="false">A8</f>
        <v>Jessica Bumphus</v>
      </c>
      <c r="B20" s="84" t="n">
        <v>0</v>
      </c>
      <c r="C20" s="85" t="n">
        <f aca="false">E8*B20</f>
        <v>0</v>
      </c>
      <c r="D20" s="85" t="n">
        <f aca="false">$C20/4*IF(Assumptions!$B$40=2,IF(D$16&gt;0,$I$42,0),D$16)</f>
        <v>0</v>
      </c>
      <c r="E20" s="85" t="n">
        <f aca="false">$C20/4*IF(Assumptions!$B$40=2,IF(E$16&gt;0,$I$42,0),E$16)</f>
        <v>0</v>
      </c>
      <c r="F20" s="85" t="n">
        <f aca="false">$C20/4*IF(Assumptions!$B$40=2,IF(F$16&gt;0,$I$42,0),F$16)</f>
        <v>0</v>
      </c>
      <c r="G20" s="85" t="n">
        <f aca="false">$C20/4*IF(Assumptions!$B$40=2,IF(G$16&gt;0,$I$42,0),G$16)</f>
        <v>0</v>
      </c>
      <c r="H20" s="31" t="n">
        <f aca="false">SUM(D20:G20)</f>
        <v>0</v>
      </c>
      <c r="I20" s="85" t="n">
        <f aca="false">Assumptions!$B$19*MIN(H20,MAX(0,Assumptions!$B$20-E8))+Assumptions!$B$21*H20</f>
        <v>0</v>
      </c>
      <c r="J20" s="31" t="n">
        <f aca="false">H20+I20</f>
        <v>0</v>
      </c>
    </row>
    <row r="21" customFormat="false" ht="14.25" hidden="false" customHeight="true" outlineLevel="0" collapsed="false">
      <c r="A21" s="83" t="str">
        <f aca="false">A9</f>
        <v>Christine Johnson</v>
      </c>
      <c r="B21" s="84" t="n">
        <v>0.03</v>
      </c>
      <c r="C21" s="85" t="n">
        <f aca="false">E9*B21</f>
        <v>2505.6</v>
      </c>
      <c r="D21" s="85" t="n">
        <f aca="false">$C21/4*IF(Assumptions!$B$40=2,IF(D$16&gt;0,$J$42,0),D$16)</f>
        <v>0</v>
      </c>
      <c r="E21" s="85" t="n">
        <f aca="false">$C21/4*IF(Assumptions!$B$40=2,IF(E$16&gt;0,$J$42,0),E$16)</f>
        <v>0</v>
      </c>
      <c r="F21" s="85" t="n">
        <f aca="false">$C21/4*IF(Assumptions!$B$40=2,IF(F$16&gt;0,$J$42,0),F$16)</f>
        <v>1252.8</v>
      </c>
      <c r="G21" s="85" t="n">
        <f aca="false">$C21/4*IF(Assumptions!$B$40=2,IF(G$16&gt;0,$J$42,0),G$16)</f>
        <v>1252.8</v>
      </c>
      <c r="H21" s="31" t="n">
        <f aca="false">SUM(D21:G21)</f>
        <v>2505.6</v>
      </c>
      <c r="I21" s="85" t="n">
        <f aca="false">Assumptions!$B$19*MIN(H21,MAX(0,Assumptions!$B$20-E9))+Assumptions!$B$21*H21</f>
        <v>191.6784</v>
      </c>
      <c r="J21" s="31" t="n">
        <f aca="false">H21+I21</f>
        <v>2697.2784</v>
      </c>
    </row>
    <row r="22" customFormat="false" ht="14.25" hidden="false" customHeight="true" outlineLevel="0" collapsed="false">
      <c r="A22" s="83" t="str">
        <f aca="false">A10</f>
        <v>Valentina Dikova</v>
      </c>
      <c r="B22" s="84" t="n">
        <v>0</v>
      </c>
      <c r="C22" s="85" t="n">
        <f aca="false">E10*B22</f>
        <v>0</v>
      </c>
      <c r="D22" s="85" t="n">
        <f aca="false">$C22/4*D$16</f>
        <v>0</v>
      </c>
      <c r="E22" s="85" t="n">
        <f aca="false">$C22/4*E$16</f>
        <v>0</v>
      </c>
      <c r="F22" s="85" t="n">
        <f aca="false">$C22/4*F$16</f>
        <v>0</v>
      </c>
      <c r="G22" s="85" t="n">
        <f aca="false">$C22/4*G$16</f>
        <v>0</v>
      </c>
      <c r="H22" s="31" t="n">
        <f aca="false">SUM(D22:G22)</f>
        <v>0</v>
      </c>
      <c r="I22" s="85" t="n">
        <v>0</v>
      </c>
      <c r="J22" s="31" t="n">
        <f aca="false">H22+I22</f>
        <v>0</v>
      </c>
    </row>
    <row r="23" customFormat="false" ht="14.25" hidden="false" customHeight="true" outlineLevel="0" collapsed="false">
      <c r="A23" s="83" t="str">
        <f aca="false">A11</f>
        <v>Josephine Mack</v>
      </c>
      <c r="B23" s="84" t="n">
        <v>0.19</v>
      </c>
      <c r="C23" s="85" t="n">
        <f aca="false">E11*B23</f>
        <v>15200</v>
      </c>
      <c r="D23" s="85" t="n">
        <f aca="false">$C23/4*D$16</f>
        <v>0</v>
      </c>
      <c r="E23" s="85" t="n">
        <f aca="false">$C23/4*E$16</f>
        <v>0</v>
      </c>
      <c r="F23" s="85" t="n">
        <f aca="false">$C23/4*F$16</f>
        <v>7600</v>
      </c>
      <c r="G23" s="85" t="n">
        <f aca="false">$C23/4*G$16</f>
        <v>7600</v>
      </c>
      <c r="H23" s="31" t="n">
        <f aca="false">SUM(D23:G23)</f>
        <v>15200</v>
      </c>
      <c r="I23" s="85" t="n">
        <f aca="false">Assumptions!$B$19*MIN(H23,MAX(0,Assumptions!$B$20-E11))+Assumptions!$B$21*H23</f>
        <v>1162.8</v>
      </c>
      <c r="J23" s="31" t="n">
        <f aca="false">H23+I23</f>
        <v>16362.8</v>
      </c>
    </row>
    <row r="24" customFormat="false" ht="14.25" hidden="false" customHeight="true" outlineLevel="0" collapsed="false">
      <c r="A24" s="23" t="s">
        <v>211</v>
      </c>
      <c r="B24" s="22"/>
      <c r="C24" s="86" t="n">
        <f aca="false">SUM(C18:C23)</f>
        <v>17705.6</v>
      </c>
      <c r="D24" s="86" t="n">
        <f aca="false">SUM(D18:D23)</f>
        <v>0</v>
      </c>
      <c r="E24" s="86" t="n">
        <f aca="false">SUM(E18:E23)</f>
        <v>0</v>
      </c>
      <c r="F24" s="86" t="n">
        <f aca="false">SUM(F18:F23)</f>
        <v>8852.8</v>
      </c>
      <c r="G24" s="86" t="n">
        <f aca="false">SUM(G18:G23)</f>
        <v>8852.8</v>
      </c>
      <c r="H24" s="86" t="n">
        <f aca="false">SUM(H18:H23)</f>
        <v>17705.6</v>
      </c>
      <c r="I24" s="86" t="n">
        <f aca="false">SUM(I18:I23)</f>
        <v>1354.4784</v>
      </c>
      <c r="J24" s="86" t="n">
        <f aca="false">SUM(J18:J23)</f>
        <v>19060.0784</v>
      </c>
    </row>
    <row r="25" customFormat="false" ht="14.25" hidden="false" customHeight="true" outlineLevel="0" collapsed="false">
      <c r="A25" s="87" t="s">
        <v>212</v>
      </c>
      <c r="B25" s="81"/>
      <c r="C25" s="88" t="n">
        <f aca="false">C18+C19+C20+C21+C23</f>
        <v>17705.6</v>
      </c>
      <c r="D25" s="88" t="n">
        <f aca="false">D18+D19+D20+D21+D23</f>
        <v>0</v>
      </c>
      <c r="E25" s="88" t="n">
        <f aca="false">E18+E19+E20+E21+E23</f>
        <v>0</v>
      </c>
      <c r="F25" s="88" t="n">
        <f aca="false">F18+F19+F20+F21+F23</f>
        <v>8852.8</v>
      </c>
      <c r="G25" s="88" t="n">
        <f aca="false">G18+G19+G20+G21+G23</f>
        <v>8852.8</v>
      </c>
      <c r="H25" s="88" t="n">
        <f aca="false">H18+H19+H20+H21+H23</f>
        <v>17705.6</v>
      </c>
      <c r="I25" s="88" t="n">
        <f aca="false">I18+I19+I20+I21+I23</f>
        <v>1354.4784</v>
      </c>
      <c r="J25" s="88" t="n">
        <f aca="false">J18+J19+J20+J21+J23</f>
        <v>19060.0784</v>
      </c>
    </row>
    <row r="26" customFormat="false" ht="14.25" hidden="false" customHeight="true" outlineLevel="0" collapsed="false">
      <c r="A26" s="89" t="s">
        <v>213</v>
      </c>
      <c r="B26" s="81"/>
      <c r="C26" s="90" t="n">
        <f aca="false">C22</f>
        <v>0</v>
      </c>
      <c r="D26" s="90" t="n">
        <f aca="false">D22</f>
        <v>0</v>
      </c>
      <c r="E26" s="90" t="n">
        <f aca="false">E22</f>
        <v>0</v>
      </c>
      <c r="F26" s="90" t="n">
        <f aca="false">F22</f>
        <v>0</v>
      </c>
      <c r="G26" s="90" t="n">
        <f aca="false">G22</f>
        <v>0</v>
      </c>
      <c r="H26" s="90" t="n">
        <f aca="false">H22</f>
        <v>0</v>
      </c>
      <c r="I26" s="90" t="n">
        <f aca="false">I22</f>
        <v>0</v>
      </c>
      <c r="J26" s="90" t="n">
        <f aca="false">J22</f>
        <v>0</v>
      </c>
    </row>
    <row r="28" customFormat="false" ht="12.75" hidden="false" customHeight="true" outlineLevel="0" collapsed="false">
      <c r="A28" s="43" t="s">
        <v>214</v>
      </c>
      <c r="B28" s="43"/>
      <c r="C28" s="43"/>
      <c r="D28" s="43"/>
      <c r="E28" s="43"/>
      <c r="F28" s="43"/>
      <c r="G28" s="43"/>
      <c r="H28" s="43"/>
      <c r="I28" s="43"/>
      <c r="J28" s="43"/>
      <c r="K28" s="43"/>
      <c r="L28" s="43"/>
      <c r="M28" s="43"/>
      <c r="N28" s="43"/>
    </row>
    <row r="29" customFormat="false" ht="12.75" hidden="false" customHeight="true" outlineLevel="0" collapsed="false">
      <c r="A29" s="43" t="s">
        <v>215</v>
      </c>
      <c r="B29" s="43"/>
      <c r="C29" s="43"/>
      <c r="D29" s="43"/>
      <c r="E29" s="43"/>
      <c r="F29" s="43"/>
      <c r="G29" s="43"/>
      <c r="H29" s="43"/>
      <c r="I29" s="43"/>
      <c r="J29" s="43"/>
      <c r="K29" s="43"/>
      <c r="L29" s="43"/>
      <c r="M29" s="43"/>
      <c r="N29" s="43"/>
    </row>
    <row r="30" customFormat="false" ht="12.75" hidden="false" customHeight="true" outlineLevel="0" collapsed="false">
      <c r="A30" s="43" t="s">
        <v>216</v>
      </c>
      <c r="B30" s="43"/>
      <c r="C30" s="43"/>
      <c r="D30" s="43"/>
      <c r="E30" s="43"/>
      <c r="F30" s="43"/>
      <c r="G30" s="43"/>
      <c r="H30" s="43"/>
      <c r="I30" s="43"/>
      <c r="J30" s="43"/>
      <c r="K30" s="43"/>
      <c r="L30" s="43"/>
      <c r="M30" s="43"/>
      <c r="N30" s="43"/>
    </row>
    <row r="31" customFormat="false" ht="12.75" hidden="false" customHeight="true" outlineLevel="0" collapsed="false">
      <c r="A31" s="43" t="s">
        <v>217</v>
      </c>
      <c r="B31" s="43"/>
      <c r="C31" s="43"/>
      <c r="D31" s="43"/>
      <c r="E31" s="43"/>
      <c r="F31" s="43"/>
      <c r="G31" s="43"/>
      <c r="H31" s="43"/>
      <c r="I31" s="43"/>
      <c r="J31" s="43"/>
      <c r="K31" s="43"/>
      <c r="L31" s="43"/>
      <c r="M31" s="43"/>
      <c r="N31" s="43"/>
    </row>
    <row r="32" customFormat="false" ht="12.75" hidden="false" customHeight="true" outlineLevel="0" collapsed="false">
      <c r="A32" s="43" t="s">
        <v>218</v>
      </c>
      <c r="B32" s="43"/>
      <c r="C32" s="43"/>
      <c r="D32" s="43"/>
      <c r="E32" s="43"/>
      <c r="F32" s="43"/>
      <c r="G32" s="43"/>
      <c r="H32" s="43"/>
      <c r="I32" s="43"/>
      <c r="J32" s="43"/>
      <c r="K32" s="43"/>
      <c r="L32" s="43"/>
      <c r="M32" s="43"/>
      <c r="N32" s="43"/>
    </row>
    <row r="34" customFormat="false" ht="14.25" hidden="false" customHeight="true" outlineLevel="0" collapsed="false">
      <c r="A34" s="80" t="s">
        <v>219</v>
      </c>
      <c r="B34" s="27"/>
      <c r="C34" s="27"/>
      <c r="D34" s="27"/>
      <c r="E34" s="27"/>
      <c r="F34" s="27"/>
      <c r="G34" s="27"/>
      <c r="H34" s="27"/>
      <c r="I34" s="27"/>
      <c r="J34" s="27"/>
      <c r="K34" s="27"/>
    </row>
    <row r="35" customFormat="false" ht="14.25" hidden="false" customHeight="true" outlineLevel="0" collapsed="false">
      <c r="A35" s="43" t="s">
        <v>220</v>
      </c>
      <c r="B35" s="43"/>
      <c r="C35" s="43"/>
      <c r="D35" s="43"/>
      <c r="E35" s="43"/>
      <c r="F35" s="43"/>
      <c r="G35" s="43"/>
      <c r="H35" s="43"/>
      <c r="I35" s="43"/>
      <c r="J35" s="43"/>
      <c r="K35" s="43"/>
    </row>
    <row r="36" customFormat="false" ht="30" hidden="false" customHeight="true" outlineLevel="0" collapsed="false">
      <c r="A36" s="7" t="s">
        <v>221</v>
      </c>
      <c r="B36" s="7" t="s">
        <v>222</v>
      </c>
      <c r="C36" s="7" t="s">
        <v>223</v>
      </c>
      <c r="D36" s="7" t="s">
        <v>224</v>
      </c>
      <c r="E36" s="7" t="s">
        <v>225</v>
      </c>
      <c r="F36" s="7" t="s">
        <v>226</v>
      </c>
      <c r="G36" s="7" t="s">
        <v>227</v>
      </c>
      <c r="H36" s="7" t="s">
        <v>228</v>
      </c>
      <c r="I36" s="7" t="s">
        <v>229</v>
      </c>
      <c r="J36" s="7" t="s">
        <v>230</v>
      </c>
    </row>
    <row r="37" customFormat="false" ht="14.25" hidden="false" customHeight="true" outlineLevel="0" collapsed="false">
      <c r="A37" s="91" t="s">
        <v>231</v>
      </c>
      <c r="B37" s="92" t="s">
        <v>232</v>
      </c>
      <c r="C37" s="84" t="n">
        <v>0.85</v>
      </c>
      <c r="D37" s="84" t="n">
        <v>1</v>
      </c>
      <c r="E37" s="84" t="n">
        <v>1.1</v>
      </c>
      <c r="F37" s="84" t="n">
        <v>0.97</v>
      </c>
      <c r="G37" s="93" t="n">
        <f aca="false">IF((F37-C37)/(D37-C37)&lt;0,0,IF((F37-D37)/(E37-D37)&lt;0,0.5+0.5*(F37-C37)/(D37-C37),MIN(1.5,1+0.5*(F37-D37)/(E37-D37))))</f>
        <v>0.9</v>
      </c>
      <c r="H37" s="84" t="n">
        <v>0.3</v>
      </c>
      <c r="I37" s="84" t="n">
        <v>0.4</v>
      </c>
      <c r="J37" s="84" t="n">
        <v>0.55</v>
      </c>
      <c r="K37" s="14" t="s">
        <v>233</v>
      </c>
    </row>
    <row r="38" customFormat="false" ht="14.25" hidden="false" customHeight="true" outlineLevel="0" collapsed="false">
      <c r="A38" s="91" t="s">
        <v>234</v>
      </c>
      <c r="B38" s="92" t="s">
        <v>232</v>
      </c>
      <c r="C38" s="17" t="n">
        <v>145</v>
      </c>
      <c r="D38" s="17" t="n">
        <v>158</v>
      </c>
      <c r="E38" s="17" t="n">
        <v>170</v>
      </c>
      <c r="F38" s="17" t="n">
        <v>156.42</v>
      </c>
      <c r="G38" s="93" t="n">
        <f aca="false">IF((F38-C38)/(D38-C38)&lt;0,0,IF((F38-D38)/(E38-D38)&lt;0,0.5+0.5*(F38-C38)/(D38-C38),MIN(1.5,1+0.5*(F38-D38)/(E38-D38))))</f>
        <v>0.939230769230769</v>
      </c>
      <c r="H38" s="84" t="n">
        <v>0.3</v>
      </c>
      <c r="I38" s="84" t="n">
        <v>0.25</v>
      </c>
      <c r="J38" s="84" t="n">
        <v>0.15</v>
      </c>
      <c r="K38" s="14" t="s">
        <v>235</v>
      </c>
    </row>
    <row r="39" customFormat="false" ht="14.25" hidden="false" customHeight="true" outlineLevel="0" collapsed="false">
      <c r="A39" s="91" t="s">
        <v>236</v>
      </c>
      <c r="B39" s="92" t="s">
        <v>237</v>
      </c>
      <c r="C39" s="17" t="n">
        <v>45</v>
      </c>
      <c r="D39" s="17" t="n">
        <v>30</v>
      </c>
      <c r="E39" s="17" t="n">
        <v>20</v>
      </c>
      <c r="F39" s="17" t="n">
        <v>35</v>
      </c>
      <c r="G39" s="93" t="n">
        <f aca="false">IF((F39-C39)/(D39-C39)&lt;0,0,IF((F39-D39)/(E39-D39)&lt;0,0.5+0.5*(F39-C39)/(D39-C39),MIN(1.5,1+0.5*(F39-D39)/(E39-D39))))</f>
        <v>0.833333333333333</v>
      </c>
      <c r="H39" s="84" t="n">
        <v>0.15</v>
      </c>
      <c r="I39" s="84" t="n">
        <v>0.2</v>
      </c>
      <c r="J39" s="84" t="n">
        <v>0.2</v>
      </c>
      <c r="K39" s="14" t="s">
        <v>238</v>
      </c>
    </row>
    <row r="40" customFormat="false" ht="14.25" hidden="false" customHeight="true" outlineLevel="0" collapsed="false">
      <c r="A40" s="91" t="s">
        <v>239</v>
      </c>
      <c r="B40" s="92" t="s">
        <v>232</v>
      </c>
      <c r="C40" s="84" t="n">
        <v>0.95</v>
      </c>
      <c r="D40" s="84" t="n">
        <v>1.05</v>
      </c>
      <c r="E40" s="84" t="n">
        <v>1.15</v>
      </c>
      <c r="F40" s="84" t="n">
        <v>1</v>
      </c>
      <c r="G40" s="93" t="n">
        <f aca="false">IF((F40-C40)/(D40-C40)&lt;0,0,IF((F40-D40)/(E40-D40)&lt;0,0.5+0.5*(F40-C40)/(D40-C40),MIN(1.5,1+0.5*(F40-D40)/(E40-D40))))</f>
        <v>0.75</v>
      </c>
      <c r="H40" s="84" t="n">
        <v>0.25</v>
      </c>
      <c r="I40" s="84" t="n">
        <v>0.15</v>
      </c>
      <c r="J40" s="84" t="n">
        <v>0.1</v>
      </c>
      <c r="K40" s="14" t="s">
        <v>240</v>
      </c>
    </row>
    <row r="41" customFormat="false" ht="14.25" hidden="false" customHeight="true" outlineLevel="0" collapsed="false">
      <c r="A41" s="87" t="s">
        <v>241</v>
      </c>
      <c r="B41" s="81"/>
      <c r="C41" s="81"/>
      <c r="D41" s="81"/>
      <c r="E41" s="81"/>
      <c r="F41" s="81"/>
      <c r="G41" s="81"/>
      <c r="H41" s="42" t="n">
        <f aca="false">SUM(H37:H40)</f>
        <v>1</v>
      </c>
      <c r="I41" s="42" t="n">
        <f aca="false">SUM(I37:I40)</f>
        <v>1</v>
      </c>
      <c r="J41" s="42" t="n">
        <f aca="false">SUM(J37:J40)</f>
        <v>1</v>
      </c>
      <c r="K41" s="94" t="str">
        <f aca="false">IF(AND(ROUND(H41,4)=1,ROUND(I41,4)=1,ROUND(J41,4)=1),"weights OK","FIX — each weight column must total 100%")</f>
        <v>weights OK</v>
      </c>
    </row>
    <row r="42" customFormat="false" ht="14.25" hidden="false" customHeight="true" outlineLevel="0" collapsed="false">
      <c r="A42" s="23" t="s">
        <v>242</v>
      </c>
      <c r="B42" s="22"/>
      <c r="C42" s="22"/>
      <c r="D42" s="22"/>
      <c r="E42" s="22"/>
      <c r="F42" s="22"/>
      <c r="G42" s="22"/>
      <c r="H42" s="95" t="n">
        <f aca="false">SUMPRODUCT($G$37:$G$40,H37:H40)</f>
        <v>0.864269230769231</v>
      </c>
      <c r="I42" s="95" t="n">
        <f aca="false">SUMPRODUCT($G$37:$G$40,I37:I40)</f>
        <v>0.873974358974359</v>
      </c>
      <c r="J42" s="95" t="n">
        <f aca="false">SUMPRODUCT($G$37:$G$40,J37:J40)</f>
        <v>0.877551282051282</v>
      </c>
    </row>
    <row r="44" customFormat="false" ht="14.25" hidden="false" customHeight="true" outlineLevel="0" collapsed="false">
      <c r="A44" s="96" t="s">
        <v>243</v>
      </c>
      <c r="B44" s="97"/>
      <c r="C44" s="97"/>
      <c r="D44" s="97"/>
      <c r="E44" s="97"/>
      <c r="F44" s="97"/>
      <c r="G44" s="97"/>
      <c r="H44" s="97"/>
      <c r="I44" s="97"/>
      <c r="J44" s="97"/>
      <c r="K44" s="97"/>
    </row>
    <row r="45" customFormat="false" ht="14.25" hidden="false" customHeight="true" outlineLevel="0" collapsed="false">
      <c r="A45" s="98" t="s">
        <v>244</v>
      </c>
      <c r="C45" s="99" t="n">
        <v>0.12</v>
      </c>
      <c r="K45" s="14" t="s">
        <v>245</v>
      </c>
    </row>
    <row r="46" customFormat="false" ht="14.25" hidden="false" customHeight="true" outlineLevel="0" collapsed="false">
      <c r="A46" s="98" t="s">
        <v>246</v>
      </c>
      <c r="C46" s="99" t="n">
        <v>0.1</v>
      </c>
      <c r="K46" s="14" t="s">
        <v>247</v>
      </c>
    </row>
    <row r="47" customFormat="false" ht="14.25" hidden="false" customHeight="true" outlineLevel="0" collapsed="false">
      <c r="A47" s="98" t="s">
        <v>248</v>
      </c>
      <c r="C47" s="99" t="n">
        <v>0.06</v>
      </c>
      <c r="K47" s="14" t="s">
        <v>249</v>
      </c>
    </row>
    <row r="48" customFormat="false" ht="14.25" hidden="false" customHeight="true" outlineLevel="0" collapsed="false">
      <c r="A48" s="98" t="s">
        <v>250</v>
      </c>
      <c r="C48" s="99" t="n">
        <v>0.1</v>
      </c>
      <c r="K48" s="14" t="s">
        <v>251</v>
      </c>
    </row>
    <row r="49" customFormat="false" ht="14.25" hidden="false" customHeight="true" outlineLevel="0" collapsed="false">
      <c r="A49" s="98" t="s">
        <v>252</v>
      </c>
      <c r="C49" s="99" t="n">
        <v>0</v>
      </c>
      <c r="K49" s="14" t="s">
        <v>253</v>
      </c>
    </row>
    <row r="50" customFormat="false" ht="14.25" hidden="false" customHeight="true" outlineLevel="0" collapsed="false">
      <c r="A50" s="98" t="s">
        <v>254</v>
      </c>
      <c r="C50" s="99" t="n">
        <v>0</v>
      </c>
      <c r="K50" s="14" t="s">
        <v>255</v>
      </c>
    </row>
    <row r="51" customFormat="false" ht="14.25" hidden="false" customHeight="true" outlineLevel="0" collapsed="false">
      <c r="A51" s="18" t="s">
        <v>256</v>
      </c>
    </row>
    <row r="53" customFormat="false" ht="14.25" hidden="false" customHeight="true" outlineLevel="0" collapsed="false">
      <c r="A53" s="80" t="s">
        <v>257</v>
      </c>
      <c r="B53" s="27"/>
      <c r="C53" s="27"/>
      <c r="D53" s="27"/>
      <c r="E53" s="27"/>
      <c r="F53" s="27"/>
      <c r="G53" s="27"/>
      <c r="H53" s="27"/>
      <c r="I53" s="27"/>
      <c r="J53" s="27"/>
      <c r="K53" s="27"/>
    </row>
    <row r="54" customFormat="false" ht="30" hidden="false" customHeight="true" outlineLevel="0" collapsed="false">
      <c r="A54" s="7" t="s">
        <v>258</v>
      </c>
      <c r="B54" s="7" t="s">
        <v>259</v>
      </c>
      <c r="C54" s="7" t="s">
        <v>260</v>
      </c>
      <c r="D54" s="7" t="s">
        <v>261</v>
      </c>
      <c r="E54" s="7" t="s">
        <v>262</v>
      </c>
      <c r="F54" s="7" t="s">
        <v>263</v>
      </c>
      <c r="G54" s="7" t="s">
        <v>264</v>
      </c>
      <c r="K54" s="27"/>
    </row>
    <row r="55" customFormat="false" ht="14.25" hidden="false" customHeight="true" outlineLevel="0" collapsed="false">
      <c r="A55" s="91" t="s">
        <v>265</v>
      </c>
      <c r="B55" s="12" t="n">
        <v>80000</v>
      </c>
      <c r="C55" s="12" t="n">
        <v>0</v>
      </c>
      <c r="D55" s="85" t="n">
        <f aca="false">B55+C55</f>
        <v>80000</v>
      </c>
      <c r="E55" s="85" t="n">
        <f aca="false">Assumptions!$B$19*MIN(D55,Assumptions!$B$20)+Assumptions!$B$21*D55+Assumptions!$B$22*MIN(D55,Assumptions!$B$23)+Assumptions!$B$24*MIN(D55,Assumptions!$B$25)</f>
        <v>6273.2</v>
      </c>
      <c r="F55" s="31" t="n">
        <f aca="false">D55+E55</f>
        <v>86273.2</v>
      </c>
      <c r="G55" s="85" t="n">
        <f aca="false">F55-$F$55</f>
        <v>0</v>
      </c>
    </row>
    <row r="56" customFormat="false" ht="14.25" hidden="false" customHeight="true" outlineLevel="0" collapsed="false">
      <c r="A56" s="91" t="s">
        <v>266</v>
      </c>
      <c r="B56" s="12" t="n">
        <v>90000</v>
      </c>
      <c r="C56" s="12" t="n">
        <v>0</v>
      </c>
      <c r="D56" s="85" t="n">
        <f aca="false">B56+C56</f>
        <v>90000</v>
      </c>
      <c r="E56" s="85" t="n">
        <f aca="false">Assumptions!$B$19*MIN(D56,Assumptions!$B$20)+Assumptions!$B$21*D56+Assumptions!$B$22*MIN(D56,Assumptions!$B$23)+Assumptions!$B$24*MIN(D56,Assumptions!$B$25)</f>
        <v>7038.2</v>
      </c>
      <c r="F56" s="31" t="n">
        <f aca="false">D56+E56</f>
        <v>97038.2</v>
      </c>
      <c r="G56" s="85" t="n">
        <f aca="false">F56-$F$55</f>
        <v>10765</v>
      </c>
      <c r="K56" s="14" t="s">
        <v>267</v>
      </c>
    </row>
    <row r="57" customFormat="false" ht="14.25" hidden="false" customHeight="true" outlineLevel="0" collapsed="false">
      <c r="A57" s="91" t="s">
        <v>268</v>
      </c>
      <c r="B57" s="12" t="n">
        <v>95000</v>
      </c>
      <c r="C57" s="12" t="n">
        <v>0</v>
      </c>
      <c r="D57" s="85" t="n">
        <f aca="false">B57+C57</f>
        <v>95000</v>
      </c>
      <c r="E57" s="85" t="n">
        <f aca="false">Assumptions!$B$19*MIN(D57,Assumptions!$B$20)+Assumptions!$B$21*D57+Assumptions!$B$22*MIN(D57,Assumptions!$B$23)+Assumptions!$B$24*MIN(D57,Assumptions!$B$25)</f>
        <v>7420.7</v>
      </c>
      <c r="F57" s="31" t="n">
        <f aca="false">D57+E57</f>
        <v>102420.7</v>
      </c>
      <c r="G57" s="85" t="n">
        <f aca="false">F57-$F$55</f>
        <v>16147.5</v>
      </c>
    </row>
    <row r="58" customFormat="false" ht="14.25" hidden="false" customHeight="true" outlineLevel="0" collapsed="false">
      <c r="A58" s="91" t="s">
        <v>269</v>
      </c>
      <c r="B58" s="12" t="n">
        <v>100000</v>
      </c>
      <c r="C58" s="12" t="n">
        <v>0</v>
      </c>
      <c r="D58" s="85" t="n">
        <f aca="false">B58+C58</f>
        <v>100000</v>
      </c>
      <c r="E58" s="85" t="n">
        <f aca="false">Assumptions!$B$19*MIN(D58,Assumptions!$B$20)+Assumptions!$B$21*D58+Assumptions!$B$22*MIN(D58,Assumptions!$B$23)+Assumptions!$B$24*MIN(D58,Assumptions!$B$25)</f>
        <v>7803.2</v>
      </c>
      <c r="F58" s="31" t="n">
        <f aca="false">D58+E58</f>
        <v>107803.2</v>
      </c>
      <c r="G58" s="85" t="n">
        <f aca="false">F58-$F$55</f>
        <v>21530</v>
      </c>
    </row>
    <row r="59" customFormat="false" ht="14.25" hidden="false" customHeight="true" outlineLevel="0" collapsed="false">
      <c r="A59" s="91" t="s">
        <v>270</v>
      </c>
      <c r="B59" s="12" t="n">
        <v>110000</v>
      </c>
      <c r="C59" s="12" t="n">
        <v>0</v>
      </c>
      <c r="D59" s="85" t="n">
        <f aca="false">B59+C59</f>
        <v>110000</v>
      </c>
      <c r="E59" s="85" t="n">
        <f aca="false">Assumptions!$B$19*MIN(D59,Assumptions!$B$20)+Assumptions!$B$21*D59+Assumptions!$B$22*MIN(D59,Assumptions!$B$23)+Assumptions!$B$24*MIN(D59,Assumptions!$B$25)</f>
        <v>8568.2</v>
      </c>
      <c r="F59" s="31" t="n">
        <f aca="false">D59+E59</f>
        <v>118568.2</v>
      </c>
      <c r="G59" s="85" t="n">
        <f aca="false">F59-$F$55</f>
        <v>32295</v>
      </c>
      <c r="K59" s="14" t="s">
        <v>271</v>
      </c>
    </row>
    <row r="60" customFormat="false" ht="14.25" hidden="false" customHeight="true" outlineLevel="0" collapsed="false">
      <c r="A60" s="91" t="s">
        <v>272</v>
      </c>
      <c r="B60" s="12" t="n">
        <v>80000</v>
      </c>
      <c r="C60" s="12" t="n">
        <v>15000</v>
      </c>
      <c r="D60" s="85" t="n">
        <f aca="false">B60+C60</f>
        <v>95000</v>
      </c>
      <c r="E60" s="85" t="n">
        <f aca="false">Assumptions!$B$19*MIN(D60,Assumptions!$B$20)+Assumptions!$B$21*D60+Assumptions!$B$22*MIN(D60,Assumptions!$B$23)+Assumptions!$B$24*MIN(D60,Assumptions!$B$25)</f>
        <v>7420.7</v>
      </c>
      <c r="F60" s="31" t="n">
        <f aca="false">D60+E60</f>
        <v>102420.7</v>
      </c>
      <c r="G60" s="85" t="n">
        <f aca="false">F60-$F$55</f>
        <v>16147.5</v>
      </c>
      <c r="K60" s="14" t="s">
        <v>273</v>
      </c>
    </row>
    <row r="61" customFormat="false" ht="14.25" hidden="false" customHeight="true" outlineLevel="0" collapsed="false">
      <c r="A61" s="100" t="s">
        <v>274</v>
      </c>
      <c r="B61" s="12" t="n">
        <v>90000</v>
      </c>
      <c r="C61" s="12" t="n">
        <v>9000</v>
      </c>
      <c r="D61" s="85" t="n">
        <f aca="false">B61+C61</f>
        <v>99000</v>
      </c>
      <c r="E61" s="85" t="n">
        <f aca="false">Assumptions!$B$19*MIN(D61,Assumptions!$B$20)+Assumptions!$B$21*D61+Assumptions!$B$22*MIN(D61,Assumptions!$B$23)+Assumptions!$B$24*MIN(D61,Assumptions!$B$25)</f>
        <v>7726.7</v>
      </c>
      <c r="F61" s="31" t="n">
        <f aca="false">D61+E61</f>
        <v>106726.7</v>
      </c>
      <c r="G61" s="85" t="n">
        <f aca="false">F61-$F$55</f>
        <v>20453.5</v>
      </c>
      <c r="K61" s="14" t="s">
        <v>275</v>
      </c>
    </row>
    <row r="62" customFormat="false" ht="14.25" hidden="false" customHeight="true" outlineLevel="0" collapsed="false">
      <c r="A62" s="94" t="s">
        <v>276</v>
      </c>
      <c r="C62" s="101" t="n">
        <f aca="false">IFERROR(107803.2/(('Monthly Capacity'!$N$13-'Monthly Capacity'!$P$27*12-'Monthly Capacity'!$R$27)*'Monthly Capacity'!$T$27*Assumptions!$B$35),0)</f>
        <v>0.638908654324703</v>
      </c>
      <c r="K62" s="18" t="s">
        <v>277</v>
      </c>
    </row>
    <row r="63" customFormat="false" ht="25.5" hidden="false" customHeight="true" outlineLevel="0" collapsed="false">
      <c r="A63" s="43" t="s">
        <v>278</v>
      </c>
      <c r="B63" s="43"/>
      <c r="C63" s="43"/>
      <c r="D63" s="43"/>
      <c r="E63" s="43"/>
      <c r="F63" s="43"/>
      <c r="G63" s="43"/>
      <c r="H63" s="43"/>
      <c r="I63" s="43"/>
      <c r="J63" s="43"/>
      <c r="K63" s="43"/>
    </row>
  </sheetData>
  <mergeCells count="9">
    <mergeCell ref="D4:O4"/>
    <mergeCell ref="P4:X4"/>
    <mergeCell ref="A28:N28"/>
    <mergeCell ref="A29:N29"/>
    <mergeCell ref="A30:N30"/>
    <mergeCell ref="A31:N31"/>
    <mergeCell ref="A32:N32"/>
    <mergeCell ref="A35:K35"/>
    <mergeCell ref="A63:K6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7" min="3" style="1" width="15"/>
    <col collapsed="false" customWidth="true" hidden="false" outlineLevel="0" max="8" min="8" style="1" width="50"/>
  </cols>
  <sheetData>
    <row r="1" customFormat="false" ht="17.25" hidden="false" customHeight="true" outlineLevel="0" collapsed="false">
      <c r="A1" s="102" t="s">
        <v>0</v>
      </c>
    </row>
    <row r="2" customFormat="false" ht="15" hidden="false" customHeight="true" outlineLevel="0" collapsed="false">
      <c r="A2" s="103" t="s">
        <v>279</v>
      </c>
    </row>
    <row r="3" customFormat="false" ht="15" hidden="false" customHeight="true" outlineLevel="0" collapsed="false">
      <c r="A3" s="4" t="s">
        <v>280</v>
      </c>
    </row>
    <row r="4" customFormat="false" ht="15" hidden="false" customHeight="true" outlineLevel="0" collapsed="false">
      <c r="A4" s="48" t="s">
        <v>281</v>
      </c>
    </row>
    <row r="6" customFormat="false" ht="15" hidden="false" customHeight="true" outlineLevel="0" collapsed="false">
      <c r="A6" s="28" t="s">
        <v>282</v>
      </c>
      <c r="B6" s="27"/>
      <c r="C6" s="27"/>
      <c r="D6" s="27"/>
      <c r="E6" s="27"/>
      <c r="F6" s="27"/>
      <c r="G6" s="27"/>
      <c r="H6" s="27"/>
    </row>
    <row r="7" customFormat="false" ht="15" hidden="false" customHeight="true" outlineLevel="0" collapsed="false">
      <c r="A7" s="25" t="s">
        <v>283</v>
      </c>
      <c r="B7" s="12" t="n">
        <v>338</v>
      </c>
      <c r="H7" s="4" t="s">
        <v>284</v>
      </c>
    </row>
    <row r="9" customFormat="false" ht="15" hidden="false" customHeight="true" outlineLevel="0" collapsed="false">
      <c r="A9" s="28" t="s">
        <v>285</v>
      </c>
      <c r="B9" s="27"/>
      <c r="C9" s="27"/>
      <c r="D9" s="27"/>
      <c r="E9" s="27"/>
      <c r="F9" s="27"/>
      <c r="G9" s="27"/>
      <c r="H9" s="27"/>
    </row>
    <row r="10" customFormat="false" ht="30" hidden="false" customHeight="true" outlineLevel="0" collapsed="false">
      <c r="A10" s="7" t="s">
        <v>286</v>
      </c>
      <c r="B10" s="7" t="s">
        <v>287</v>
      </c>
      <c r="C10" s="7" t="s">
        <v>288</v>
      </c>
      <c r="D10" s="7" t="s">
        <v>289</v>
      </c>
      <c r="E10" s="7" t="s">
        <v>290</v>
      </c>
      <c r="F10" s="7" t="s">
        <v>291</v>
      </c>
      <c r="H10" s="27"/>
    </row>
    <row r="11" customFormat="false" ht="15" hidden="false" customHeight="true" outlineLevel="0" collapsed="false">
      <c r="A11" s="104" t="s">
        <v>292</v>
      </c>
      <c r="B11" s="17" t="n">
        <v>847.93</v>
      </c>
      <c r="C11" s="105" t="n">
        <v>1</v>
      </c>
      <c r="D11" s="13" t="n">
        <f aca="false">$B$7*C11</f>
        <v>338</v>
      </c>
      <c r="E11" s="32" t="n">
        <f aca="false">MAX(0,B11-D11)</f>
        <v>509.93</v>
      </c>
      <c r="F11" s="106" t="n">
        <v>509.76</v>
      </c>
      <c r="H11" s="14" t="s">
        <v>293</v>
      </c>
    </row>
    <row r="12" customFormat="false" ht="15" hidden="false" customHeight="true" outlineLevel="0" collapsed="false">
      <c r="A12" s="104" t="s">
        <v>294</v>
      </c>
      <c r="B12" s="17" t="n">
        <v>1779.11</v>
      </c>
      <c r="C12" s="105" t="n">
        <v>2</v>
      </c>
      <c r="D12" s="13" t="n">
        <f aca="false">$B$7*C12</f>
        <v>676</v>
      </c>
      <c r="E12" s="32" t="n">
        <f aca="false">MAX(0,B12-D12)</f>
        <v>1103.11</v>
      </c>
      <c r="F12" s="106" t="n">
        <v>509.76</v>
      </c>
      <c r="H12" s="14" t="s">
        <v>295</v>
      </c>
    </row>
    <row r="13" customFormat="false" ht="15" hidden="false" customHeight="true" outlineLevel="0" collapsed="false">
      <c r="A13" s="104" t="s">
        <v>296</v>
      </c>
      <c r="B13" s="17" t="n">
        <v>1609.32</v>
      </c>
      <c r="C13" s="105" t="n">
        <v>2</v>
      </c>
      <c r="D13" s="13" t="n">
        <f aca="false">$B$7*C13</f>
        <v>676</v>
      </c>
      <c r="E13" s="32" t="n">
        <f aca="false">MAX(0,B13-D13)</f>
        <v>933.32</v>
      </c>
      <c r="F13" s="106" t="n">
        <v>509.76</v>
      </c>
      <c r="H13" s="18" t="s">
        <v>297</v>
      </c>
    </row>
    <row r="14" customFormat="false" ht="15" hidden="false" customHeight="true" outlineLevel="0" collapsed="false">
      <c r="A14" s="104" t="s">
        <v>298</v>
      </c>
      <c r="B14" s="17" t="n">
        <v>1609.32</v>
      </c>
      <c r="C14" s="105" t="n">
        <v>2</v>
      </c>
      <c r="D14" s="13" t="n">
        <f aca="false">$B$7*C14</f>
        <v>676</v>
      </c>
      <c r="E14" s="32" t="n">
        <f aca="false">MAX(0,B14-D14)</f>
        <v>933.32</v>
      </c>
      <c r="F14" s="106" t="n">
        <v>509.76</v>
      </c>
      <c r="H14" s="18" t="s">
        <v>299</v>
      </c>
    </row>
    <row r="15" customFormat="false" ht="15" hidden="false" customHeight="true" outlineLevel="0" collapsed="false">
      <c r="A15" s="104" t="s">
        <v>300</v>
      </c>
      <c r="B15" s="17" t="n">
        <v>2624.24</v>
      </c>
      <c r="C15" s="105" t="n">
        <v>3</v>
      </c>
      <c r="D15" s="13" t="n">
        <f aca="false">$B$7*C15</f>
        <v>1014</v>
      </c>
      <c r="E15" s="32" t="n">
        <f aca="false">MAX(0,B15-D15)</f>
        <v>1610.24</v>
      </c>
      <c r="F15" s="106" t="n">
        <v>509.76</v>
      </c>
    </row>
    <row r="17" customFormat="false" ht="15" hidden="false" customHeight="true" outlineLevel="0" collapsed="false">
      <c r="A17" s="28" t="s">
        <v>301</v>
      </c>
      <c r="B17" s="27"/>
      <c r="C17" s="27"/>
      <c r="D17" s="27"/>
      <c r="E17" s="27"/>
      <c r="F17" s="27"/>
      <c r="G17" s="27"/>
      <c r="H17" s="27"/>
    </row>
    <row r="18" customFormat="false" ht="30" hidden="false" customHeight="true" outlineLevel="0" collapsed="false">
      <c r="A18" s="7" t="s">
        <v>162</v>
      </c>
      <c r="B18" s="7" t="s">
        <v>302</v>
      </c>
      <c r="C18" s="7" t="s">
        <v>303</v>
      </c>
      <c r="D18" s="7" t="s">
        <v>304</v>
      </c>
      <c r="E18" s="7" t="s">
        <v>305</v>
      </c>
      <c r="F18" s="7" t="s">
        <v>306</v>
      </c>
      <c r="G18" s="7" t="s">
        <v>307</v>
      </c>
      <c r="H18" s="27"/>
    </row>
    <row r="19" customFormat="false" ht="15" hidden="false" customHeight="true" outlineLevel="0" collapsed="false">
      <c r="A19" s="83" t="str">
        <f aca="false">'Staff P&amp;L'!$A$6</f>
        <v>Steven Nikolov</v>
      </c>
      <c r="B19" s="107" t="n">
        <v>5</v>
      </c>
      <c r="C19" s="13" t="n">
        <f aca="false">IFERROR(INDEX($E$11:$E$15,B19),0)</f>
        <v>1610.24</v>
      </c>
      <c r="D19" s="85" t="n">
        <f aca="false">'Staff P&amp;L'!$E$6</f>
        <v>184500</v>
      </c>
      <c r="E19" s="13" t="n">
        <f aca="false">D19/12*$B$30*$B$31</f>
        <v>461.25</v>
      </c>
      <c r="F19" s="32" t="n">
        <f aca="false">C19+E19</f>
        <v>2071.49</v>
      </c>
      <c r="G19" s="13" t="n">
        <f aca="false">F19*$B$44/12</f>
        <v>345.248333333333</v>
      </c>
    </row>
    <row r="20" customFormat="false" ht="15" hidden="false" customHeight="true" outlineLevel="0" collapsed="false">
      <c r="A20" s="83" t="str">
        <f aca="false">'Staff P&amp;L'!$A$7</f>
        <v>Lisa Danforth</v>
      </c>
      <c r="B20" s="107" t="n">
        <v>5</v>
      </c>
      <c r="C20" s="13" t="n">
        <f aca="false">IFERROR(INDEX($E$11:$E$15,B20),0)</f>
        <v>1610.24</v>
      </c>
      <c r="D20" s="85" t="n">
        <f aca="false">'Staff P&amp;L'!$E$7</f>
        <v>176000</v>
      </c>
      <c r="E20" s="13" t="n">
        <f aca="false">D20/12*$B$30*$B$31</f>
        <v>440</v>
      </c>
      <c r="F20" s="32" t="n">
        <f aca="false">C20+E20</f>
        <v>2050.24</v>
      </c>
      <c r="G20" s="13" t="n">
        <f aca="false">F20*$B$44/12</f>
        <v>341.706666666667</v>
      </c>
    </row>
    <row r="21" customFormat="false" ht="15" hidden="false" customHeight="true" outlineLevel="0" collapsed="false">
      <c r="A21" s="83" t="str">
        <f aca="false">'Staff P&amp;L'!$A$8</f>
        <v>Jessica Bumphus</v>
      </c>
      <c r="B21" s="107" t="n">
        <v>2</v>
      </c>
      <c r="C21" s="13" t="n">
        <f aca="false">IFERROR(INDEX($E$11:$E$15,B21),0)</f>
        <v>1103.11</v>
      </c>
      <c r="D21" s="85" t="n">
        <f aca="false">'Staff P&amp;L'!$E$8</f>
        <v>125280</v>
      </c>
      <c r="E21" s="13" t="n">
        <f aca="false">D21/12*$B$30*$B$31</f>
        <v>313.2</v>
      </c>
      <c r="F21" s="32" t="n">
        <f aca="false">C21+E21</f>
        <v>1416.31</v>
      </c>
      <c r="G21" s="13" t="n">
        <f aca="false">F21*$B$44/12</f>
        <v>236.051666666667</v>
      </c>
    </row>
    <row r="22" customFormat="false" ht="15" hidden="false" customHeight="true" outlineLevel="0" collapsed="false">
      <c r="A22" s="83" t="str">
        <f aca="false">'Staff P&amp;L'!$A$9</f>
        <v>Christine Johnson</v>
      </c>
      <c r="B22" s="107" t="n">
        <v>1</v>
      </c>
      <c r="C22" s="13" t="n">
        <f aca="false">IFERROR(INDEX($E$11:$E$15,B22),0)</f>
        <v>509.93</v>
      </c>
      <c r="D22" s="85" t="n">
        <f aca="false">'Staff P&amp;L'!$E$9</f>
        <v>83520</v>
      </c>
      <c r="E22" s="13" t="n">
        <f aca="false">D22/12*$B$30*$B$31</f>
        <v>208.8</v>
      </c>
      <c r="F22" s="32" t="n">
        <f aca="false">C22+E22</f>
        <v>718.73</v>
      </c>
      <c r="G22" s="13" t="n">
        <f aca="false">F22*$B$44/12</f>
        <v>119.788333333333</v>
      </c>
    </row>
    <row r="23" customFormat="false" ht="15" hidden="false" customHeight="true" outlineLevel="0" collapsed="false">
      <c r="A23" s="83" t="str">
        <f aca="false">'Staff P&amp;L'!$A$10</f>
        <v>Valentina Dikova</v>
      </c>
      <c r="B23" s="104"/>
      <c r="C23" s="13" t="n">
        <v>0</v>
      </c>
      <c r="D23" s="85" t="n">
        <v>0</v>
      </c>
      <c r="E23" s="13" t="n">
        <v>0</v>
      </c>
      <c r="F23" s="32" t="n">
        <f aca="false">C23+E23</f>
        <v>0</v>
      </c>
      <c r="G23" s="13" t="n">
        <f aca="false">F23*$B$44/12</f>
        <v>0</v>
      </c>
      <c r="H23" s="14" t="s">
        <v>308</v>
      </c>
    </row>
    <row r="24" customFormat="false" ht="15" hidden="false" customHeight="true" outlineLevel="0" collapsed="false">
      <c r="A24" s="83" t="str">
        <f aca="false">'Staff P&amp;L'!$A$11</f>
        <v>Josephine Mack</v>
      </c>
      <c r="B24" s="107" t="n">
        <v>1</v>
      </c>
      <c r="C24" s="13" t="n">
        <f aca="false">IFERROR(INDEX($E$11:$E$15,B24),0)</f>
        <v>509.93</v>
      </c>
      <c r="D24" s="85" t="n">
        <f aca="false">'Staff P&amp;L'!$E$11</f>
        <v>80000</v>
      </c>
      <c r="E24" s="13" t="n">
        <f aca="false">D24/12*$B$30*$B$31</f>
        <v>200</v>
      </c>
      <c r="F24" s="32" t="n">
        <f aca="false">C24+E24</f>
        <v>709.93</v>
      </c>
      <c r="G24" s="13" t="n">
        <f aca="false">F24*$B$44/12</f>
        <v>118.321666666667</v>
      </c>
    </row>
    <row r="25" customFormat="false" ht="15" hidden="false" customHeight="true" outlineLevel="0" collapsed="false">
      <c r="A25" s="23" t="s">
        <v>309</v>
      </c>
      <c r="B25" s="22"/>
      <c r="C25" s="24" t="n">
        <f aca="false">SUM(C19:C24)</f>
        <v>5343.45</v>
      </c>
      <c r="D25" s="24" t="n">
        <f aca="false">SUM(D19:D24)</f>
        <v>649300</v>
      </c>
      <c r="E25" s="24" t="n">
        <f aca="false">SUM(E19:E24)</f>
        <v>1623.25</v>
      </c>
      <c r="F25" s="24" t="n">
        <f aca="false">SUM(F19:F24)</f>
        <v>6966.7</v>
      </c>
      <c r="G25" s="24" t="n">
        <f aca="false">SUM(G19:G24)</f>
        <v>1161.11666666667</v>
      </c>
      <c r="H25" s="108" t="s">
        <v>310</v>
      </c>
    </row>
    <row r="26" customFormat="false" ht="15" hidden="false" customHeight="true" outlineLevel="0" collapsed="false">
      <c r="A26" s="109" t="s">
        <v>311</v>
      </c>
      <c r="B26" s="109"/>
      <c r="C26" s="109"/>
      <c r="D26" s="109"/>
      <c r="E26" s="109"/>
      <c r="F26" s="109"/>
      <c r="G26" s="109"/>
      <c r="H26" s="109"/>
    </row>
    <row r="27" customFormat="false" ht="15" hidden="false" customHeight="true" outlineLevel="0" collapsed="false">
      <c r="A27" s="110" t="s">
        <v>312</v>
      </c>
      <c r="B27" s="110"/>
      <c r="C27" s="110"/>
      <c r="D27" s="110"/>
      <c r="E27" s="110"/>
      <c r="F27" s="110"/>
      <c r="G27" s="110"/>
      <c r="H27" s="110"/>
    </row>
    <row r="29" customFormat="false" ht="15" hidden="false" customHeight="true" outlineLevel="0" collapsed="false">
      <c r="A29" s="28" t="s">
        <v>313</v>
      </c>
      <c r="B29" s="27"/>
      <c r="C29" s="27"/>
      <c r="D29" s="27"/>
      <c r="E29" s="27"/>
      <c r="F29" s="27"/>
      <c r="G29" s="27"/>
      <c r="H29" s="27"/>
    </row>
    <row r="30" customFormat="false" ht="15" hidden="false" customHeight="true" outlineLevel="0" collapsed="false">
      <c r="A30" s="33" t="s">
        <v>314</v>
      </c>
      <c r="B30" s="84" t="n">
        <v>0.03</v>
      </c>
      <c r="H30" s="4" t="s">
        <v>315</v>
      </c>
    </row>
    <row r="31" customFormat="false" ht="15" hidden="false" customHeight="true" outlineLevel="0" collapsed="false">
      <c r="A31" s="25" t="s">
        <v>316</v>
      </c>
      <c r="B31" s="84" t="n">
        <v>1</v>
      </c>
      <c r="H31" s="4" t="s">
        <v>317</v>
      </c>
    </row>
    <row r="32" customFormat="false" ht="15" hidden="false" customHeight="true" outlineLevel="0" collapsed="false">
      <c r="A32" s="33" t="s">
        <v>318</v>
      </c>
      <c r="B32" s="88" t="n">
        <f aca="false">E25*12</f>
        <v>19479</v>
      </c>
    </row>
    <row r="33" customFormat="false" ht="15" hidden="false" customHeight="true" outlineLevel="0" collapsed="false">
      <c r="A33" s="94" t="s">
        <v>319</v>
      </c>
      <c r="B33" s="111" t="n">
        <f aca="false">SUM(D19:D24)*0.01*$B$31</f>
        <v>6493</v>
      </c>
      <c r="C33" s="111" t="n">
        <f aca="false">SUM(D19:D24)*0.02*$B$31</f>
        <v>12986</v>
      </c>
      <c r="D33" s="111" t="n">
        <f aca="false">SUM(D19:D24)*0.03*$B$31</f>
        <v>19479</v>
      </c>
      <c r="H33" s="14" t="s">
        <v>320</v>
      </c>
    </row>
    <row r="35" customFormat="false" ht="15" hidden="false" customHeight="true" outlineLevel="0" collapsed="false">
      <c r="A35" s="28" t="s">
        <v>321</v>
      </c>
      <c r="B35" s="27"/>
      <c r="C35" s="27"/>
      <c r="D35" s="27"/>
      <c r="E35" s="27"/>
      <c r="F35" s="27"/>
      <c r="G35" s="27"/>
      <c r="H35" s="27"/>
    </row>
    <row r="36" customFormat="false" ht="25.5" hidden="false" customHeight="true" outlineLevel="0" collapsed="false">
      <c r="A36" s="110" t="s">
        <v>322</v>
      </c>
      <c r="B36" s="110"/>
      <c r="C36" s="110"/>
      <c r="D36" s="110"/>
      <c r="E36" s="110"/>
      <c r="F36" s="110"/>
      <c r="G36" s="110"/>
      <c r="H36" s="110"/>
    </row>
    <row r="37" customFormat="false" ht="15" hidden="false" customHeight="true" outlineLevel="0" collapsed="false">
      <c r="A37" s="33" t="s">
        <v>323</v>
      </c>
      <c r="B37" s="17" t="n">
        <v>183</v>
      </c>
      <c r="H37" s="4" t="s">
        <v>324</v>
      </c>
    </row>
    <row r="38" customFormat="false" ht="15" hidden="false" customHeight="true" outlineLevel="0" collapsed="false">
      <c r="A38" s="25" t="s">
        <v>325</v>
      </c>
      <c r="B38" s="112" t="n">
        <v>0.0017</v>
      </c>
      <c r="H38" s="4" t="s">
        <v>326</v>
      </c>
    </row>
    <row r="39" customFormat="false" ht="15" hidden="false" customHeight="true" outlineLevel="0" collapsed="false">
      <c r="A39" s="25" t="s">
        <v>327</v>
      </c>
      <c r="B39" s="112" t="n">
        <v>0.00233</v>
      </c>
      <c r="H39" s="4" t="s">
        <v>328</v>
      </c>
    </row>
    <row r="40" customFormat="false" ht="15" hidden="false" customHeight="true" outlineLevel="0" collapsed="false">
      <c r="A40" s="25" t="s">
        <v>329</v>
      </c>
      <c r="B40" s="113" t="n">
        <f aca="false">COUNT(B19:B24)</f>
        <v>5</v>
      </c>
    </row>
    <row r="41" customFormat="false" ht="15" hidden="false" customHeight="true" outlineLevel="0" collapsed="false">
      <c r="A41" s="25" t="s">
        <v>330</v>
      </c>
      <c r="B41" s="114" t="n">
        <f aca="false">SUM(D19:D24)+'Staff P&amp;L'!$H$25</f>
        <v>667005.6</v>
      </c>
      <c r="H41" s="4" t="s">
        <v>331</v>
      </c>
    </row>
    <row r="42" customFormat="false" ht="15" hidden="false" customHeight="true" outlineLevel="0" collapsed="false">
      <c r="A42" s="25" t="s">
        <v>332</v>
      </c>
      <c r="B42" s="12" t="n">
        <v>2824.61</v>
      </c>
    </row>
    <row r="43" customFormat="false" ht="15" hidden="false" customHeight="true" outlineLevel="0" collapsed="false">
      <c r="A43" s="33" t="s">
        <v>333</v>
      </c>
      <c r="B43" s="107" t="n">
        <v>11</v>
      </c>
      <c r="H43" s="4" t="s">
        <v>334</v>
      </c>
    </row>
    <row r="44" customFormat="false" ht="15" hidden="false" customHeight="true" outlineLevel="0" collapsed="false">
      <c r="A44" s="25" t="s">
        <v>335</v>
      </c>
      <c r="B44" s="115" t="n">
        <f aca="false">MAX(0,13-$B$43)</f>
        <v>2</v>
      </c>
    </row>
    <row r="46" customFormat="false" ht="15" hidden="false" customHeight="true" outlineLevel="0" collapsed="false">
      <c r="A46" s="28" t="s">
        <v>336</v>
      </c>
      <c r="B46" s="27"/>
      <c r="C46" s="27"/>
      <c r="D46" s="27"/>
      <c r="E46" s="27"/>
      <c r="F46" s="27"/>
      <c r="G46" s="27"/>
      <c r="H46" s="27"/>
    </row>
    <row r="47" customFormat="false" ht="15" hidden="false" customHeight="true" outlineLevel="0" collapsed="false">
      <c r="A47" s="116"/>
      <c r="B47" s="116" t="s">
        <v>337</v>
      </c>
      <c r="C47" s="116" t="s">
        <v>338</v>
      </c>
      <c r="H47" s="27"/>
    </row>
    <row r="48" customFormat="false" ht="15" hidden="false" customHeight="true" outlineLevel="0" collapsed="false">
      <c r="A48" s="25" t="s">
        <v>339</v>
      </c>
      <c r="B48" s="13" t="n">
        <f aca="false">C25</f>
        <v>5343.45</v>
      </c>
      <c r="C48" s="85" t="n">
        <f aca="false">B48*12</f>
        <v>64121.4</v>
      </c>
      <c r="H48" s="14" t="s">
        <v>340</v>
      </c>
    </row>
    <row r="49" customFormat="false" ht="15" hidden="false" customHeight="true" outlineLevel="0" collapsed="false">
      <c r="A49" s="25" t="s">
        <v>341</v>
      </c>
      <c r="B49" s="13" t="n">
        <f aca="false">E25</f>
        <v>1623.25</v>
      </c>
      <c r="C49" s="85" t="n">
        <f aca="false">B49*12</f>
        <v>19479</v>
      </c>
    </row>
    <row r="50" customFormat="false" ht="15" hidden="false" customHeight="true" outlineLevel="0" collapsed="false">
      <c r="A50" s="25" t="s">
        <v>342</v>
      </c>
      <c r="B50" s="13" t="n">
        <f aca="false">$B$37*$B$40</f>
        <v>915</v>
      </c>
      <c r="C50" s="85" t="n">
        <f aca="false">B50*12</f>
        <v>10980</v>
      </c>
    </row>
    <row r="51" customFormat="false" ht="15" hidden="false" customHeight="true" outlineLevel="0" collapsed="false">
      <c r="A51" s="25" t="s">
        <v>343</v>
      </c>
      <c r="B51" s="13" t="n">
        <f aca="false">$B$41/12*$B$38</f>
        <v>94.49246</v>
      </c>
      <c r="C51" s="85" t="n">
        <f aca="false">B51*12</f>
        <v>1133.90952</v>
      </c>
    </row>
    <row r="52" customFormat="false" ht="15" hidden="false" customHeight="true" outlineLevel="0" collapsed="false">
      <c r="A52" s="25" t="s">
        <v>344</v>
      </c>
      <c r="B52" s="13" t="n">
        <f aca="false">$B$41/12*$B$39</f>
        <v>129.510254</v>
      </c>
      <c r="C52" s="85" t="n">
        <f aca="false">B52*12</f>
        <v>1554.123048</v>
      </c>
      <c r="H52" s="14" t="s">
        <v>345</v>
      </c>
    </row>
    <row r="53" customFormat="false" ht="15" hidden="false" customHeight="true" outlineLevel="0" collapsed="false">
      <c r="A53" s="23" t="s">
        <v>346</v>
      </c>
      <c r="B53" s="24" t="n">
        <f aca="false">B48+B49+B50+B51+B52</f>
        <v>8105.702714</v>
      </c>
      <c r="C53" s="86" t="n">
        <f aca="false">B53*12</f>
        <v>97268.432568</v>
      </c>
    </row>
    <row r="54" customFormat="false" ht="15" hidden="false" customHeight="true" outlineLevel="0" collapsed="false">
      <c r="A54" s="94" t="s">
        <v>347</v>
      </c>
      <c r="B54" s="117" t="n">
        <f aca="false">IFERROR(B53/$B$40,0)</f>
        <v>1621.1405428</v>
      </c>
    </row>
    <row r="55" customFormat="false" ht="15" hidden="false" customHeight="true" outlineLevel="0" collapsed="false">
      <c r="A55" s="87" t="s">
        <v>348</v>
      </c>
      <c r="C55" s="88" t="n">
        <f aca="false">B53*$B$44+$B$42</f>
        <v>19036.015428</v>
      </c>
      <c r="H55" s="14" t="s">
        <v>349</v>
      </c>
    </row>
    <row r="57" customFormat="false" ht="25.5" hidden="false" customHeight="true" outlineLevel="0" collapsed="false">
      <c r="A57" s="118" t="s">
        <v>350</v>
      </c>
      <c r="B57" s="118"/>
      <c r="C57" s="118"/>
      <c r="D57" s="118"/>
      <c r="E57" s="118"/>
      <c r="F57" s="118"/>
      <c r="G57" s="118"/>
      <c r="H57" s="118"/>
    </row>
    <row r="58" customFormat="false" ht="25.5" hidden="false" customHeight="true" outlineLevel="0" collapsed="false">
      <c r="A58" s="118" t="s">
        <v>351</v>
      </c>
      <c r="B58" s="118"/>
      <c r="C58" s="118"/>
      <c r="D58" s="118"/>
      <c r="E58" s="118"/>
      <c r="F58" s="118"/>
      <c r="G58" s="118"/>
      <c r="H58" s="118"/>
    </row>
    <row r="59" customFormat="false" ht="25.5" hidden="false" customHeight="true" outlineLevel="0" collapsed="false">
      <c r="A59" s="118" t="s">
        <v>352</v>
      </c>
      <c r="B59" s="118"/>
      <c r="C59" s="118"/>
      <c r="D59" s="118"/>
      <c r="E59" s="118"/>
      <c r="F59" s="118"/>
      <c r="G59" s="118"/>
      <c r="H59" s="118"/>
    </row>
    <row r="60" customFormat="false" ht="25.5" hidden="false" customHeight="true" outlineLevel="0" collapsed="false">
      <c r="A60" s="118" t="s">
        <v>353</v>
      </c>
      <c r="B60" s="118"/>
      <c r="C60" s="118"/>
      <c r="D60" s="118"/>
      <c r="E60" s="118"/>
      <c r="F60" s="118"/>
      <c r="G60" s="118"/>
      <c r="H60" s="118"/>
    </row>
  </sheetData>
  <mergeCells count="7">
    <mergeCell ref="A26:H26"/>
    <mergeCell ref="A27:H27"/>
    <mergeCell ref="A36:H36"/>
    <mergeCell ref="A57:H57"/>
    <mergeCell ref="A58:H58"/>
    <mergeCell ref="A59:H59"/>
    <mergeCell ref="A60:H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18" activePane="bottomRight" state="frozen"/>
      <selection pane="topLeft" activeCell="A1" activeCellId="0" sqref="A1"/>
      <selection pane="topRight" activeCell="B1" activeCellId="0" sqref="B1"/>
      <selection pane="bottomLeft" activeCell="A18" activeCellId="0" sqref="A18"/>
      <selection pane="bottomRight" activeCell="A1" activeCellId="0" sqref="A1"/>
    </sheetView>
  </sheetViews>
  <sheetFormatPr defaultColWidth="8.55859375" defaultRowHeight="14.25" zeroHeight="false" outlineLevelRow="0" outlineLevelCol="0"/>
  <cols>
    <col collapsed="false" customWidth="true" hidden="false" outlineLevel="0" max="1" min="1" style="1" width="38"/>
    <col collapsed="false" customWidth="true" hidden="false" outlineLevel="0" max="13" min="2" style="1" width="10.44"/>
    <col collapsed="false" customWidth="true" hidden="false" outlineLevel="0" max="14" min="14" style="1" width="12"/>
    <col collapsed="false" customWidth="true" hidden="false" outlineLevel="0" max="20" min="16" style="1" width="12"/>
  </cols>
  <sheetData>
    <row r="1" customFormat="false" ht="17.25" hidden="false" customHeight="true" outlineLevel="0" collapsed="false">
      <c r="A1" s="102" t="s">
        <v>0</v>
      </c>
    </row>
    <row r="2" customFormat="false" ht="15" hidden="false" customHeight="true" outlineLevel="0" collapsed="false">
      <c r="A2" s="103" t="s">
        <v>354</v>
      </c>
    </row>
    <row r="3" customFormat="false" ht="14.25" hidden="false" customHeight="true" outlineLevel="0" collapsed="false">
      <c r="A3" s="4" t="s">
        <v>355</v>
      </c>
    </row>
    <row r="5" customFormat="false" ht="14.25" hidden="false" customHeight="true" outlineLevel="0" collapsed="false">
      <c r="A5" s="27"/>
      <c r="B5" s="116" t="s">
        <v>356</v>
      </c>
      <c r="C5" s="116" t="s">
        <v>357</v>
      </c>
      <c r="D5" s="116" t="s">
        <v>358</v>
      </c>
      <c r="E5" s="116" t="s">
        <v>359</v>
      </c>
      <c r="F5" s="116" t="s">
        <v>360</v>
      </c>
      <c r="G5" s="116" t="s">
        <v>361</v>
      </c>
      <c r="H5" s="116" t="s">
        <v>362</v>
      </c>
      <c r="I5" s="116" t="s">
        <v>363</v>
      </c>
      <c r="J5" s="116" t="s">
        <v>364</v>
      </c>
      <c r="K5" s="116" t="s">
        <v>365</v>
      </c>
      <c r="L5" s="116" t="s">
        <v>366</v>
      </c>
      <c r="M5" s="116" t="s">
        <v>367</v>
      </c>
      <c r="N5" s="116" t="s">
        <v>368</v>
      </c>
    </row>
    <row r="7" customFormat="false" ht="14.25" hidden="false" customHeight="true" outlineLevel="0" collapsed="false">
      <c r="A7" s="28" t="s">
        <v>369</v>
      </c>
      <c r="B7" s="27"/>
      <c r="C7" s="27"/>
      <c r="D7" s="27"/>
      <c r="E7" s="27"/>
      <c r="F7" s="27"/>
      <c r="G7" s="27"/>
      <c r="H7" s="27"/>
      <c r="I7" s="27"/>
      <c r="J7" s="27"/>
      <c r="K7" s="27"/>
      <c r="L7" s="27"/>
      <c r="M7" s="27"/>
      <c r="N7" s="27"/>
    </row>
    <row r="8" customFormat="false" ht="14.25" hidden="false" customHeight="true" outlineLevel="0" collapsed="false">
      <c r="A8" s="25" t="s">
        <v>370</v>
      </c>
      <c r="B8" s="119" t="n">
        <v>31</v>
      </c>
      <c r="C8" s="119" t="n">
        <v>28</v>
      </c>
      <c r="D8" s="119" t="n">
        <v>31</v>
      </c>
      <c r="E8" s="119" t="n">
        <v>30</v>
      </c>
      <c r="F8" s="119" t="n">
        <v>31</v>
      </c>
      <c r="G8" s="119" t="n">
        <v>30</v>
      </c>
      <c r="H8" s="119" t="n">
        <v>31</v>
      </c>
      <c r="I8" s="119" t="n">
        <v>31</v>
      </c>
      <c r="J8" s="119" t="n">
        <v>30</v>
      </c>
      <c r="K8" s="119" t="n">
        <v>31</v>
      </c>
      <c r="L8" s="119" t="n">
        <v>30</v>
      </c>
      <c r="M8" s="119" t="n">
        <v>31</v>
      </c>
      <c r="N8" s="120" t="n">
        <f aca="false">SUM(B8:M8)</f>
        <v>365</v>
      </c>
    </row>
    <row r="9" customFormat="false" ht="14.25" hidden="false" customHeight="true" outlineLevel="0" collapsed="false">
      <c r="A9" s="25" t="s">
        <v>371</v>
      </c>
      <c r="B9" s="119" t="n">
        <v>22</v>
      </c>
      <c r="C9" s="119" t="n">
        <v>20</v>
      </c>
      <c r="D9" s="119" t="n">
        <v>22</v>
      </c>
      <c r="E9" s="119" t="n">
        <v>22</v>
      </c>
      <c r="F9" s="119" t="n">
        <v>21</v>
      </c>
      <c r="G9" s="119" t="n">
        <v>22</v>
      </c>
      <c r="H9" s="119" t="n">
        <v>23</v>
      </c>
      <c r="I9" s="119" t="n">
        <v>21</v>
      </c>
      <c r="J9" s="119" t="n">
        <v>22</v>
      </c>
      <c r="K9" s="119" t="n">
        <v>22</v>
      </c>
      <c r="L9" s="119" t="n">
        <v>21</v>
      </c>
      <c r="M9" s="119" t="n">
        <v>23</v>
      </c>
      <c r="N9" s="120" t="n">
        <f aca="false">SUM(B9:M9)</f>
        <v>261</v>
      </c>
    </row>
    <row r="10" customFormat="false" ht="14.25" hidden="false" customHeight="true" outlineLevel="0" collapsed="false">
      <c r="A10" s="25" t="s">
        <v>372</v>
      </c>
      <c r="B10" s="121" t="n">
        <v>1</v>
      </c>
      <c r="C10" s="121" t="n">
        <v>0</v>
      </c>
      <c r="D10" s="121" t="n">
        <v>0</v>
      </c>
      <c r="E10" s="121" t="n">
        <v>0</v>
      </c>
      <c r="F10" s="121" t="n">
        <v>1</v>
      </c>
      <c r="G10" s="121" t="n">
        <v>0</v>
      </c>
      <c r="H10" s="121" t="n">
        <v>1</v>
      </c>
      <c r="I10" s="121" t="n">
        <v>0</v>
      </c>
      <c r="J10" s="121" t="n">
        <v>1</v>
      </c>
      <c r="K10" s="121" t="n">
        <v>0</v>
      </c>
      <c r="L10" s="121" t="n">
        <v>1</v>
      </c>
      <c r="M10" s="121" t="n">
        <v>2</v>
      </c>
      <c r="N10" s="120" t="n">
        <f aca="false">SUM(B10:M10)</f>
        <v>7</v>
      </c>
    </row>
    <row r="11" customFormat="false" ht="14.25" hidden="false" customHeight="true" outlineLevel="0" collapsed="false">
      <c r="A11" s="33" t="s">
        <v>373</v>
      </c>
      <c r="B11" s="122" t="n">
        <f aca="false">B9-B10</f>
        <v>21</v>
      </c>
      <c r="C11" s="122" t="n">
        <f aca="false">C9-C10</f>
        <v>20</v>
      </c>
      <c r="D11" s="122" t="n">
        <f aca="false">D9-D10</f>
        <v>22</v>
      </c>
      <c r="E11" s="122" t="n">
        <f aca="false">E9-E10</f>
        <v>22</v>
      </c>
      <c r="F11" s="122" t="n">
        <f aca="false">F9-F10</f>
        <v>20</v>
      </c>
      <c r="G11" s="122" t="n">
        <f aca="false">G9-G10</f>
        <v>22</v>
      </c>
      <c r="H11" s="122" t="n">
        <f aca="false">H9-H10</f>
        <v>22</v>
      </c>
      <c r="I11" s="122" t="n">
        <f aca="false">I9-I10</f>
        <v>21</v>
      </c>
      <c r="J11" s="122" t="n">
        <f aca="false">J9-J10</f>
        <v>21</v>
      </c>
      <c r="K11" s="122" t="n">
        <f aca="false">K9-K10</f>
        <v>22</v>
      </c>
      <c r="L11" s="122" t="n">
        <f aca="false">L9-L10</f>
        <v>20</v>
      </c>
      <c r="M11" s="122" t="n">
        <f aca="false">M9-M10</f>
        <v>21</v>
      </c>
      <c r="N11" s="120" t="n">
        <f aca="false">SUM(B11:M11)</f>
        <v>254</v>
      </c>
    </row>
    <row r="12" customFormat="false" ht="14.25" hidden="false" customHeight="true" outlineLevel="0" collapsed="false">
      <c r="A12" s="25" t="s">
        <v>374</v>
      </c>
      <c r="B12" s="121" t="n">
        <v>8</v>
      </c>
      <c r="C12" s="121" t="n">
        <v>8</v>
      </c>
      <c r="D12" s="121" t="n">
        <v>8</v>
      </c>
      <c r="E12" s="121" t="n">
        <v>8</v>
      </c>
      <c r="F12" s="121" t="n">
        <v>8</v>
      </c>
      <c r="G12" s="121" t="n">
        <v>8</v>
      </c>
      <c r="H12" s="121" t="n">
        <v>8</v>
      </c>
      <c r="I12" s="121" t="n">
        <v>8</v>
      </c>
      <c r="J12" s="121" t="n">
        <v>8</v>
      </c>
      <c r="K12" s="121" t="n">
        <v>8</v>
      </c>
      <c r="L12" s="121" t="n">
        <v>8</v>
      </c>
      <c r="M12" s="121" t="n">
        <v>8</v>
      </c>
      <c r="N12" s="120" t="n">
        <f aca="false">SUM(B12:M12)</f>
        <v>96</v>
      </c>
    </row>
    <row r="13" customFormat="false" ht="14.25" hidden="false" customHeight="true" outlineLevel="0" collapsed="false">
      <c r="A13" s="33" t="s">
        <v>375</v>
      </c>
      <c r="B13" s="30" t="n">
        <f aca="false">B11*B12</f>
        <v>168</v>
      </c>
      <c r="C13" s="30" t="n">
        <f aca="false">C11*C12</f>
        <v>160</v>
      </c>
      <c r="D13" s="30" t="n">
        <f aca="false">D11*D12</f>
        <v>176</v>
      </c>
      <c r="E13" s="30" t="n">
        <f aca="false">E11*E12</f>
        <v>176</v>
      </c>
      <c r="F13" s="30" t="n">
        <f aca="false">F11*F12</f>
        <v>160</v>
      </c>
      <c r="G13" s="30" t="n">
        <f aca="false">G11*G12</f>
        <v>176</v>
      </c>
      <c r="H13" s="30" t="n">
        <f aca="false">H11*H12</f>
        <v>176</v>
      </c>
      <c r="I13" s="30" t="n">
        <f aca="false">I11*I12</f>
        <v>168</v>
      </c>
      <c r="J13" s="30" t="n">
        <f aca="false">J11*J12</f>
        <v>168</v>
      </c>
      <c r="K13" s="30" t="n">
        <f aca="false">K11*K12</f>
        <v>176</v>
      </c>
      <c r="L13" s="30" t="n">
        <f aca="false">L11*L12</f>
        <v>160</v>
      </c>
      <c r="M13" s="30" t="n">
        <f aca="false">M11*M12</f>
        <v>168</v>
      </c>
      <c r="N13" s="123" t="n">
        <f aca="false">SUM(B13:M13)</f>
        <v>2032</v>
      </c>
    </row>
    <row r="14" customFormat="false" ht="14.25" hidden="false" customHeight="true" outlineLevel="0" collapsed="false">
      <c r="A14" s="33" t="s">
        <v>376</v>
      </c>
      <c r="B14" s="34" t="n">
        <f aca="false">B9*B12</f>
        <v>176</v>
      </c>
      <c r="C14" s="34" t="n">
        <f aca="false">C9*C12</f>
        <v>160</v>
      </c>
      <c r="D14" s="34" t="n">
        <f aca="false">D9*D12</f>
        <v>176</v>
      </c>
      <c r="E14" s="34" t="n">
        <f aca="false">E9*E12</f>
        <v>176</v>
      </c>
      <c r="F14" s="34" t="n">
        <f aca="false">F9*F12</f>
        <v>168</v>
      </c>
      <c r="G14" s="34" t="n">
        <f aca="false">G9*G12</f>
        <v>176</v>
      </c>
      <c r="H14" s="34" t="n">
        <f aca="false">H9*H12</f>
        <v>184</v>
      </c>
      <c r="I14" s="34" t="n">
        <f aca="false">I9*I12</f>
        <v>168</v>
      </c>
      <c r="J14" s="34" t="n">
        <f aca="false">J9*J12</f>
        <v>176</v>
      </c>
      <c r="K14" s="34" t="n">
        <f aca="false">K9*K12</f>
        <v>176</v>
      </c>
      <c r="L14" s="34" t="n">
        <f aca="false">L9*L12</f>
        <v>168</v>
      </c>
      <c r="M14" s="34" t="n">
        <f aca="false">M9*M12</f>
        <v>184</v>
      </c>
      <c r="N14" s="123" t="n">
        <f aca="false">SUM(B14:M14)</f>
        <v>2088</v>
      </c>
      <c r="P14" s="14" t="s">
        <v>377</v>
      </c>
    </row>
    <row r="16" customFormat="false" ht="14.25" hidden="false" customHeight="true" outlineLevel="0" collapsed="false">
      <c r="A16" s="28" t="s">
        <v>378</v>
      </c>
      <c r="B16" s="27"/>
      <c r="C16" s="27"/>
      <c r="D16" s="27"/>
      <c r="E16" s="27"/>
      <c r="F16" s="27"/>
      <c r="G16" s="27"/>
      <c r="H16" s="27"/>
      <c r="I16" s="27"/>
      <c r="J16" s="27"/>
      <c r="K16" s="27"/>
      <c r="L16" s="27"/>
      <c r="M16" s="27"/>
      <c r="N16" s="27"/>
    </row>
    <row r="17" customFormat="false" ht="14.25" hidden="false" customHeight="true" outlineLevel="0" collapsed="false">
      <c r="A17" s="25" t="s">
        <v>379</v>
      </c>
      <c r="B17" s="84" t="n">
        <v>0.0833333333333333</v>
      </c>
      <c r="C17" s="84" t="n">
        <v>0.0833333333333333</v>
      </c>
      <c r="D17" s="84" t="n">
        <v>0.0833333333333333</v>
      </c>
      <c r="E17" s="84" t="n">
        <v>0.0833333333333333</v>
      </c>
      <c r="F17" s="84" t="n">
        <v>0.0833333333333333</v>
      </c>
      <c r="G17" s="84" t="n">
        <v>0.0833333333333333</v>
      </c>
      <c r="H17" s="84" t="n">
        <v>0.0833333333333333</v>
      </c>
      <c r="I17" s="84" t="n">
        <v>0.0833333333333333</v>
      </c>
      <c r="J17" s="84" t="n">
        <v>0.0833333333333333</v>
      </c>
      <c r="K17" s="84" t="n">
        <v>0.0833333333333333</v>
      </c>
      <c r="L17" s="84" t="n">
        <v>0.0833333333333333</v>
      </c>
      <c r="M17" s="84" t="n">
        <v>0.0833333333333333</v>
      </c>
      <c r="N17" s="42" t="n">
        <f aca="false">SUM(B17:M17)</f>
        <v>1</v>
      </c>
      <c r="P17" s="14" t="s">
        <v>380</v>
      </c>
    </row>
    <row r="18" customFormat="false" ht="14.25" hidden="false" customHeight="true" outlineLevel="0" collapsed="false">
      <c r="A18" s="94" t="s">
        <v>381</v>
      </c>
      <c r="B18" s="124" t="str">
        <f aca="false">IF(ROUND(N17,6)=1,"OK","FIX — must total 100%")</f>
        <v>OK</v>
      </c>
      <c r="C18" s="124"/>
      <c r="D18" s="124"/>
      <c r="E18" s="124"/>
      <c r="F18" s="124"/>
    </row>
    <row r="20" customFormat="false" ht="14.25" hidden="false" customHeight="true" outlineLevel="0" collapsed="false">
      <c r="A20" s="28" t="s">
        <v>382</v>
      </c>
      <c r="B20" s="27"/>
      <c r="C20" s="27"/>
      <c r="D20" s="27"/>
      <c r="E20" s="27"/>
      <c r="F20" s="27"/>
      <c r="G20" s="27"/>
      <c r="H20" s="27"/>
      <c r="I20" s="27"/>
      <c r="J20" s="27"/>
      <c r="K20" s="27"/>
      <c r="L20" s="27"/>
      <c r="M20" s="27"/>
      <c r="N20" s="27"/>
      <c r="P20" s="27"/>
      <c r="Q20" s="27"/>
      <c r="R20" s="27"/>
      <c r="S20" s="27"/>
    </row>
    <row r="21" customFormat="false" ht="27.75" hidden="false" customHeight="true" outlineLevel="0" collapsed="false">
      <c r="A21" s="125" t="s">
        <v>162</v>
      </c>
      <c r="B21" s="116" t="s">
        <v>383</v>
      </c>
      <c r="C21" s="116" t="s">
        <v>384</v>
      </c>
      <c r="D21" s="116" t="s">
        <v>385</v>
      </c>
      <c r="E21" s="116" t="s">
        <v>386</v>
      </c>
      <c r="F21" s="116" t="s">
        <v>387</v>
      </c>
      <c r="G21" s="116" t="s">
        <v>388</v>
      </c>
      <c r="H21" s="116" t="s">
        <v>389</v>
      </c>
      <c r="I21" s="116" t="s">
        <v>390</v>
      </c>
      <c r="J21" s="116" t="s">
        <v>391</v>
      </c>
      <c r="K21" s="116" t="s">
        <v>392</v>
      </c>
      <c r="L21" s="116" t="s">
        <v>393</v>
      </c>
      <c r="M21" s="116" t="s">
        <v>394</v>
      </c>
      <c r="N21" s="116" t="s">
        <v>395</v>
      </c>
      <c r="P21" s="7" t="s">
        <v>396</v>
      </c>
      <c r="Q21" s="7" t="s">
        <v>397</v>
      </c>
      <c r="R21" s="7" t="s">
        <v>398</v>
      </c>
      <c r="S21" s="7" t="s">
        <v>399</v>
      </c>
      <c r="T21" s="7" t="s">
        <v>400</v>
      </c>
    </row>
    <row r="22" customFormat="false" ht="14.25" hidden="false" customHeight="true" outlineLevel="0" collapsed="false">
      <c r="A22" s="83" t="str">
        <f aca="false">'Staff P&amp;L'!$A$6</f>
        <v>Steven Nikolov</v>
      </c>
      <c r="B22" s="34" t="n">
        <f aca="false">IF(Assumptions!$B$38=2,B$75,MAX(0,(B$13-$P22-$R22*B$17))*$Q22*$T22)</f>
        <v>73.4066666666667</v>
      </c>
      <c r="C22" s="34" t="n">
        <f aca="false">IF(Assumptions!$B$38=2,C$75,MAX(0,(C$13-$P22-$R22*C$17))*$Q22*$T22)</f>
        <v>69.7666666666667</v>
      </c>
      <c r="D22" s="34" t="n">
        <f aca="false">IF(Assumptions!$B$38=2,D$75,MAX(0,(D$13-$P22-$R22*D$17))*$Q22*$T22)</f>
        <v>77.0466666666667</v>
      </c>
      <c r="E22" s="34" t="n">
        <f aca="false">IF(Assumptions!$B$38=2,E$75,MAX(0,(E$13-$P22-$R22*E$17))*$Q22*$T22)</f>
        <v>77.0466666666667</v>
      </c>
      <c r="F22" s="34" t="n">
        <f aca="false">IF(Assumptions!$B$38=2,F$75,MAX(0,(F$13-$P22-$R22*F$17))*$Q22*$T22)</f>
        <v>69.7666666666667</v>
      </c>
      <c r="G22" s="34" t="n">
        <f aca="false">IF(Assumptions!$B$38=2,G$75,MAX(0,(G$13-$P22-$R22*G$17))*$Q22*$T22)</f>
        <v>77.0466666666667</v>
      </c>
      <c r="H22" s="34" t="n">
        <f aca="false">IF(Assumptions!$B$38=2,H$75,MAX(0,(H$13-$P22-$R22*H$17))*$Q22*$T22)</f>
        <v>77.0466666666667</v>
      </c>
      <c r="I22" s="34" t="n">
        <f aca="false">IF(Assumptions!$B$38=2,I$75,MAX(0,(I$13-$P22-$R22*I$17))*$Q22*$T22)</f>
        <v>73.4066666666667</v>
      </c>
      <c r="J22" s="34" t="n">
        <f aca="false">IF(Assumptions!$B$38=2,J$75,MAX(0,(J$13-$P22-$R22*J$17))*$Q22*$T22)</f>
        <v>73.4066666666667</v>
      </c>
      <c r="K22" s="34" t="n">
        <f aca="false">IF(Assumptions!$B$38=2,K$75,MAX(0,(K$13-$P22-$R22*K$17))*$Q22*$T22)</f>
        <v>77.0466666666667</v>
      </c>
      <c r="L22" s="34" t="n">
        <f aca="false">IF(Assumptions!$B$38=2,L$75,MAX(0,(L$13-$P22-$R22*L$17))*$Q22*$T22)</f>
        <v>69.7666666666667</v>
      </c>
      <c r="M22" s="34" t="n">
        <f aca="false">IF(Assumptions!$B$38=2,M$75,MAX(0,(M$13-$P22-$R22*M$17))*$Q22*$T22)</f>
        <v>73.4066666666667</v>
      </c>
      <c r="N22" s="123" t="n">
        <f aca="false">SUM(B22:M22)</f>
        <v>888.16</v>
      </c>
      <c r="P22" s="121" t="n">
        <v>0</v>
      </c>
      <c r="Q22" s="84" t="n">
        <v>0.5</v>
      </c>
      <c r="R22" s="121" t="n">
        <v>80</v>
      </c>
      <c r="S22" s="126" t="n">
        <f aca="false">Assumptions!$B$33</f>
        <v>246.571256953424</v>
      </c>
      <c r="T22" s="69" t="n">
        <f aca="false">Assumptions!$B$15</f>
        <v>0.91</v>
      </c>
    </row>
    <row r="23" customFormat="false" ht="14.25" hidden="false" customHeight="true" outlineLevel="0" collapsed="false">
      <c r="A23" s="83" t="str">
        <f aca="false">'Staff P&amp;L'!$A$7</f>
        <v>Lisa Danforth</v>
      </c>
      <c r="B23" s="34" t="n">
        <f aca="false">MAX(0,(B$13-$P23-$R23*B$17))*$Q23*$T23</f>
        <v>128.613333333333</v>
      </c>
      <c r="C23" s="34" t="n">
        <f aca="false">MAX(0,(C$13-$P23-$R23*C$17))*$Q23*$T23</f>
        <v>121.333333333333</v>
      </c>
      <c r="D23" s="34" t="n">
        <f aca="false">MAX(0,(D$13-$P23-$R23*D$17))*$Q23*$T23</f>
        <v>135.893333333333</v>
      </c>
      <c r="E23" s="34" t="n">
        <f aca="false">MAX(0,(E$13-$P23-$R23*E$17))*$Q23*$T23</f>
        <v>135.893333333333</v>
      </c>
      <c r="F23" s="34" t="n">
        <f aca="false">MAX(0,(F$13-$P23-$R23*F$17))*$Q23*$T23</f>
        <v>121.333333333333</v>
      </c>
      <c r="G23" s="34" t="n">
        <f aca="false">MAX(0,(G$13-$P23-$R23*G$17))*$Q23*$T23</f>
        <v>135.893333333333</v>
      </c>
      <c r="H23" s="34" t="n">
        <f aca="false">MAX(0,(H$13-$P23-$R23*H$17))*$Q23*$T23</f>
        <v>135.893333333333</v>
      </c>
      <c r="I23" s="34" t="n">
        <f aca="false">MAX(0,(I$13-$P23-$R23*I$17))*$Q23*$T23</f>
        <v>128.613333333333</v>
      </c>
      <c r="J23" s="34" t="n">
        <f aca="false">MAX(0,(J$13-$P23-$R23*J$17))*$Q23*$T23</f>
        <v>128.613333333333</v>
      </c>
      <c r="K23" s="34" t="n">
        <f aca="false">MAX(0,(K$13-$P23-$R23*K$17))*$Q23*$T23</f>
        <v>135.893333333333</v>
      </c>
      <c r="L23" s="34" t="n">
        <f aca="false">MAX(0,(L$13-$P23-$R23*L$17))*$Q23*$T23</f>
        <v>121.333333333333</v>
      </c>
      <c r="M23" s="34" t="n">
        <f aca="false">MAX(0,(M$13-$P23-$R23*M$17))*$Q23*$T23</f>
        <v>128.613333333333</v>
      </c>
      <c r="N23" s="123" t="n">
        <f aca="false">SUM(B23:M23)</f>
        <v>1557.92</v>
      </c>
      <c r="P23" s="121" t="n">
        <v>20</v>
      </c>
      <c r="Q23" s="84" t="n">
        <v>1</v>
      </c>
      <c r="R23" s="121" t="n">
        <v>80</v>
      </c>
      <c r="S23" s="126" t="n">
        <f aca="false">Assumptions!$B$33</f>
        <v>246.571256953424</v>
      </c>
      <c r="T23" s="69" t="n">
        <f aca="false">Assumptions!$B$15</f>
        <v>0.91</v>
      </c>
    </row>
    <row r="24" customFormat="false" ht="14.25" hidden="false" customHeight="true" outlineLevel="0" collapsed="false">
      <c r="A24" s="83" t="str">
        <f aca="false">'Staff P&amp;L'!$A$8</f>
        <v>Jessica Bumphus</v>
      </c>
      <c r="B24" s="34" t="n">
        <f aca="false">MAX(0,(B$13-$P24-$R24*B$17))*$Q24*$T24</f>
        <v>128.613333333333</v>
      </c>
      <c r="C24" s="34" t="n">
        <f aca="false">MAX(0,(C$13-$P24-$R24*C$17))*$Q24*$T24</f>
        <v>121.333333333333</v>
      </c>
      <c r="D24" s="34" t="n">
        <f aca="false">MAX(0,(D$13-$P24-$R24*D$17))*$Q24*$T24</f>
        <v>135.893333333333</v>
      </c>
      <c r="E24" s="34" t="n">
        <f aca="false">MAX(0,(E$13-$P24-$R24*E$17))*$Q24*$T24</f>
        <v>135.893333333333</v>
      </c>
      <c r="F24" s="34" t="n">
        <f aca="false">MAX(0,(F$13-$P24-$R24*F$17))*$Q24*$T24</f>
        <v>121.333333333333</v>
      </c>
      <c r="G24" s="34" t="n">
        <f aca="false">MAX(0,(G$13-$P24-$R24*G$17))*$Q24*$T24</f>
        <v>135.893333333333</v>
      </c>
      <c r="H24" s="34" t="n">
        <f aca="false">MAX(0,(H$13-$P24-$R24*H$17))*$Q24*$T24</f>
        <v>135.893333333333</v>
      </c>
      <c r="I24" s="34" t="n">
        <f aca="false">MAX(0,(I$13-$P24-$R24*I$17))*$Q24*$T24</f>
        <v>128.613333333333</v>
      </c>
      <c r="J24" s="34" t="n">
        <f aca="false">MAX(0,(J$13-$P24-$R24*J$17))*$Q24*$T24</f>
        <v>128.613333333333</v>
      </c>
      <c r="K24" s="34" t="n">
        <f aca="false">MAX(0,(K$13-$P24-$R24*K$17))*$Q24*$T24</f>
        <v>135.893333333333</v>
      </c>
      <c r="L24" s="34" t="n">
        <f aca="false">MAX(0,(L$13-$P24-$R24*L$17))*$Q24*$T24</f>
        <v>121.333333333333</v>
      </c>
      <c r="M24" s="34" t="n">
        <f aca="false">MAX(0,(M$13-$P24-$R24*M$17))*$Q24*$T24</f>
        <v>128.613333333333</v>
      </c>
      <c r="N24" s="123" t="n">
        <f aca="false">SUM(B24:M24)</f>
        <v>1557.92</v>
      </c>
      <c r="P24" s="121" t="n">
        <v>20</v>
      </c>
      <c r="Q24" s="84" t="n">
        <v>1</v>
      </c>
      <c r="R24" s="121" t="n">
        <v>80</v>
      </c>
      <c r="S24" s="126" t="n">
        <f aca="false">Assumptions!$B$34</f>
        <v>151.11295604717</v>
      </c>
      <c r="T24" s="69" t="n">
        <f aca="false">Assumptions!$B$15</f>
        <v>0.91</v>
      </c>
    </row>
    <row r="25" customFormat="false" ht="14.25" hidden="false" customHeight="true" outlineLevel="0" collapsed="false">
      <c r="A25" s="83" t="str">
        <f aca="false">'Staff P&amp;L'!$A$9</f>
        <v>Christine Johnson</v>
      </c>
      <c r="B25" s="34" t="n">
        <f aca="false">MAX(0,(B$13-$P25-$R25*B$17))*$Q25*$T25</f>
        <v>128.613333333333</v>
      </c>
      <c r="C25" s="34" t="n">
        <f aca="false">MAX(0,(C$13-$P25-$R25*C$17))*$Q25*$T25</f>
        <v>121.333333333333</v>
      </c>
      <c r="D25" s="34" t="n">
        <f aca="false">MAX(0,(D$13-$P25-$R25*D$17))*$Q25*$T25</f>
        <v>135.893333333333</v>
      </c>
      <c r="E25" s="34" t="n">
        <f aca="false">MAX(0,(E$13-$P25-$R25*E$17))*$Q25*$T25</f>
        <v>135.893333333333</v>
      </c>
      <c r="F25" s="34" t="n">
        <f aca="false">MAX(0,(F$13-$P25-$R25*F$17))*$Q25*$T25</f>
        <v>121.333333333333</v>
      </c>
      <c r="G25" s="34" t="n">
        <f aca="false">MAX(0,(G$13-$P25-$R25*G$17))*$Q25*$T25</f>
        <v>135.893333333333</v>
      </c>
      <c r="H25" s="34" t="n">
        <f aca="false">MAX(0,(H$13-$P25-$R25*H$17))*$Q25*$T25</f>
        <v>135.893333333333</v>
      </c>
      <c r="I25" s="34" t="n">
        <f aca="false">MAX(0,(I$13-$P25-$R25*I$17))*$Q25*$T25</f>
        <v>128.613333333333</v>
      </c>
      <c r="J25" s="34" t="n">
        <f aca="false">MAX(0,(J$13-$P25-$R25*J$17))*$Q25*$T25</f>
        <v>128.613333333333</v>
      </c>
      <c r="K25" s="34" t="n">
        <f aca="false">MAX(0,(K$13-$P25-$R25*K$17))*$Q25*$T25</f>
        <v>135.893333333333</v>
      </c>
      <c r="L25" s="34" t="n">
        <f aca="false">MAX(0,(L$13-$P25-$R25*L$17))*$Q25*$T25</f>
        <v>121.333333333333</v>
      </c>
      <c r="M25" s="34" t="n">
        <f aca="false">MAX(0,(M$13-$P25-$R25*M$17))*$Q25*$T25</f>
        <v>128.613333333333</v>
      </c>
      <c r="N25" s="123" t="n">
        <f aca="false">SUM(B25:M25)</f>
        <v>1557.92</v>
      </c>
      <c r="P25" s="121" t="n">
        <v>20</v>
      </c>
      <c r="Q25" s="84" t="n">
        <v>1</v>
      </c>
      <c r="R25" s="121" t="n">
        <v>80</v>
      </c>
      <c r="S25" s="126" t="n">
        <f aca="false">Assumptions!$B$35</f>
        <v>94.9886413691999</v>
      </c>
      <c r="T25" s="69" t="n">
        <f aca="false">Assumptions!$B$15</f>
        <v>0.91</v>
      </c>
    </row>
    <row r="26" customFormat="false" ht="14.25" hidden="false" customHeight="true" outlineLevel="0" collapsed="false">
      <c r="A26" s="83" t="str">
        <f aca="false">'Staff P&amp;L'!$A$10</f>
        <v>Valentina Dikova</v>
      </c>
      <c r="B26" s="34" t="n">
        <f aca="false">MAX(0,(B$13-$P26-$R26*B$17))*$Q26*$T26</f>
        <v>134.68</v>
      </c>
      <c r="C26" s="34" t="n">
        <f aca="false">MAX(0,(C$13-$P26-$R26*C$17))*$Q26*$T26</f>
        <v>127.4</v>
      </c>
      <c r="D26" s="34" t="n">
        <f aca="false">MAX(0,(D$13-$P26-$R26*D$17))*$Q26*$T26</f>
        <v>141.96</v>
      </c>
      <c r="E26" s="34" t="n">
        <f aca="false">MAX(0,(E$13-$P26-$R26*E$17))*$Q26*$T26</f>
        <v>141.96</v>
      </c>
      <c r="F26" s="34" t="n">
        <f aca="false">MAX(0,(F$13-$P26-$R26*F$17))*$Q26*$T26</f>
        <v>127.4</v>
      </c>
      <c r="G26" s="34" t="n">
        <f aca="false">MAX(0,(G$13-$P26-$R26*G$17))*$Q26*$T26</f>
        <v>141.96</v>
      </c>
      <c r="H26" s="34" t="n">
        <f aca="false">MAX(0,(H$13-$P26-$R26*H$17))*$Q26*$T26</f>
        <v>141.96</v>
      </c>
      <c r="I26" s="34" t="n">
        <f aca="false">MAX(0,(I$13-$P26-$R26*I$17))*$Q26*$T26</f>
        <v>134.68</v>
      </c>
      <c r="J26" s="34" t="n">
        <f aca="false">MAX(0,(J$13-$P26-$R26*J$17))*$Q26*$T26</f>
        <v>134.68</v>
      </c>
      <c r="K26" s="34" t="n">
        <f aca="false">MAX(0,(K$13-$P26-$R26*K$17))*$Q26*$T26</f>
        <v>141.96</v>
      </c>
      <c r="L26" s="34" t="n">
        <f aca="false">MAX(0,(L$13-$P26-$R26*L$17))*$Q26*$T26</f>
        <v>127.4</v>
      </c>
      <c r="M26" s="34" t="n">
        <f aca="false">MAX(0,(M$13-$P26-$R26*M$17))*$Q26*$T26</f>
        <v>134.68</v>
      </c>
      <c r="N26" s="123" t="n">
        <f aca="false">SUM(B26:M26)</f>
        <v>1630.72</v>
      </c>
      <c r="P26" s="121" t="n">
        <v>20</v>
      </c>
      <c r="Q26" s="84" t="n">
        <v>1</v>
      </c>
      <c r="R26" s="121" t="n">
        <v>0</v>
      </c>
      <c r="S26" s="126" t="n">
        <f aca="false">Assumptions!$B$35</f>
        <v>94.9886413691999</v>
      </c>
      <c r="T26" s="69" t="n">
        <f aca="false">Assumptions!$B$15</f>
        <v>0.91</v>
      </c>
    </row>
    <row r="27" customFormat="false" ht="14.25" hidden="false" customHeight="true" outlineLevel="0" collapsed="false">
      <c r="A27" s="83" t="str">
        <f aca="false">'Staff P&amp;L'!$A$11</f>
        <v>Josephine Mack</v>
      </c>
      <c r="B27" s="34" t="n">
        <f aca="false">MAX(0,(B$13-$P27-$R27*B$17))*$Q27*$T27</f>
        <v>22.022</v>
      </c>
      <c r="C27" s="34" t="n">
        <f aca="false">MAX(0,(C$13-$P27-$R27*C$17))*$Q27*$T27</f>
        <v>20.93</v>
      </c>
      <c r="D27" s="34" t="n">
        <f aca="false">MAX(0,(D$13-$P27-$R27*D$17))*$Q27*$T27</f>
        <v>23.114</v>
      </c>
      <c r="E27" s="34" t="n">
        <f aca="false">MAX(0,(E$13-$P27-$R27*E$17))*$Q27*$T27</f>
        <v>23.114</v>
      </c>
      <c r="F27" s="34" t="n">
        <f aca="false">MAX(0,(F$13-$P27-$R27*F$17))*$Q27*$T27</f>
        <v>20.93</v>
      </c>
      <c r="G27" s="34" t="n">
        <f aca="false">MAX(0,(G$13-$P27-$R27*G$17))*$Q27*$T27</f>
        <v>23.114</v>
      </c>
      <c r="H27" s="34" t="n">
        <f aca="false">MAX(0,(H$13-$P27-$R27*H$17))*$Q27*$T27</f>
        <v>23.114</v>
      </c>
      <c r="I27" s="34" t="n">
        <f aca="false">MAX(0,(I$13-$P27-$R27*I$17))*$Q27*$T27</f>
        <v>22.022</v>
      </c>
      <c r="J27" s="34" t="n">
        <f aca="false">MAX(0,(J$13-$P27-$R27*J$17))*$Q27*$T27</f>
        <v>22.022</v>
      </c>
      <c r="K27" s="34" t="n">
        <f aca="false">MAX(0,(K$13-$P27-$R27*K$17))*$Q27*$T27</f>
        <v>23.114</v>
      </c>
      <c r="L27" s="34" t="n">
        <f aca="false">MAX(0,(L$13-$P27-$R27*L$17))*$Q27*$T27</f>
        <v>20.93</v>
      </c>
      <c r="M27" s="34" t="n">
        <f aca="false">MAX(0,(M$13-$P27-$R27*M$17))*$Q27*$T27</f>
        <v>22.022</v>
      </c>
      <c r="N27" s="123" t="n">
        <f aca="false">SUM(B27:M27)</f>
        <v>266.448</v>
      </c>
      <c r="P27" s="121" t="n">
        <v>0</v>
      </c>
      <c r="Q27" s="84" t="n">
        <v>0.15</v>
      </c>
      <c r="R27" s="121" t="n">
        <v>80</v>
      </c>
      <c r="S27" s="126" t="n">
        <f aca="false">Assumptions!$B$35</f>
        <v>94.9886413691999</v>
      </c>
      <c r="T27" s="69" t="n">
        <f aca="false">Assumptions!$B$15</f>
        <v>0.91</v>
      </c>
    </row>
    <row r="28" customFormat="false" ht="14.25" hidden="false" customHeight="true" outlineLevel="0" collapsed="false">
      <c r="A28" s="23" t="s">
        <v>401</v>
      </c>
      <c r="B28" s="78" t="n">
        <f aca="false">SUM(B22:B27)</f>
        <v>615.948666666667</v>
      </c>
      <c r="C28" s="78" t="n">
        <f aca="false">SUM(C22:C27)</f>
        <v>582.096666666667</v>
      </c>
      <c r="D28" s="78" t="n">
        <f aca="false">SUM(D22:D27)</f>
        <v>649.800666666667</v>
      </c>
      <c r="E28" s="78" t="n">
        <f aca="false">SUM(E22:E27)</f>
        <v>649.800666666667</v>
      </c>
      <c r="F28" s="78" t="n">
        <f aca="false">SUM(F22:F27)</f>
        <v>582.096666666667</v>
      </c>
      <c r="G28" s="78" t="n">
        <f aca="false">SUM(G22:G27)</f>
        <v>649.800666666667</v>
      </c>
      <c r="H28" s="78" t="n">
        <f aca="false">SUM(H22:H27)</f>
        <v>649.800666666667</v>
      </c>
      <c r="I28" s="78" t="n">
        <f aca="false">SUM(I22:I27)</f>
        <v>615.948666666667</v>
      </c>
      <c r="J28" s="78" t="n">
        <f aca="false">SUM(J22:J27)</f>
        <v>615.948666666667</v>
      </c>
      <c r="K28" s="78" t="n">
        <f aca="false">SUM(K22:K27)</f>
        <v>649.800666666667</v>
      </c>
      <c r="L28" s="78" t="n">
        <f aca="false">SUM(L22:L27)</f>
        <v>582.096666666667</v>
      </c>
      <c r="M28" s="78" t="n">
        <f aca="false">SUM(M22:M27)</f>
        <v>615.948666666667</v>
      </c>
      <c r="N28" s="78" t="n">
        <f aca="false">SUM(N22:N27)</f>
        <v>7459.088</v>
      </c>
      <c r="P28" s="127" t="s">
        <v>402</v>
      </c>
      <c r="Q28" s="128" t="n">
        <f aca="false">IFERROR(SUMPRODUCT($N$22:$N$27)/SUMPRODUCT(($N$22:$N$27)/$T$22:$T$27),0)</f>
        <v>0.91</v>
      </c>
      <c r="R28" s="22"/>
      <c r="S28" s="22"/>
      <c r="T28" s="22"/>
    </row>
    <row r="30" customFormat="false" ht="14.25" hidden="false" customHeight="true" outlineLevel="0" collapsed="false">
      <c r="A30" s="28" t="s">
        <v>403</v>
      </c>
      <c r="B30" s="27"/>
      <c r="C30" s="27"/>
      <c r="D30" s="27"/>
      <c r="E30" s="27"/>
      <c r="F30" s="27"/>
      <c r="G30" s="27"/>
      <c r="H30" s="27"/>
      <c r="I30" s="27"/>
      <c r="J30" s="27"/>
      <c r="K30" s="27"/>
      <c r="L30" s="27"/>
      <c r="M30" s="27"/>
      <c r="N30" s="27"/>
    </row>
    <row r="31" customFormat="false" ht="14.25" hidden="false" customHeight="true" outlineLevel="0" collapsed="false">
      <c r="A31" s="129" t="str">
        <f aca="false">'Staff P&amp;L'!$A$6</f>
        <v>Steven Nikolov</v>
      </c>
      <c r="B31" s="85" t="n">
        <f aca="false">B22*$S22</f>
        <v>18099.974068761</v>
      </c>
      <c r="C31" s="85" t="n">
        <f aca="false">C22*$S22</f>
        <v>17202.4546934505</v>
      </c>
      <c r="D31" s="85" t="n">
        <f aca="false">D22*$S22</f>
        <v>18997.4934440714</v>
      </c>
      <c r="E31" s="85" t="n">
        <f aca="false">E22*$S22</f>
        <v>18997.4934440714</v>
      </c>
      <c r="F31" s="85" t="n">
        <f aca="false">F22*$S22</f>
        <v>17202.4546934505</v>
      </c>
      <c r="G31" s="85" t="n">
        <f aca="false">G22*$S22</f>
        <v>18997.4934440714</v>
      </c>
      <c r="H31" s="85" t="n">
        <f aca="false">H22*$S22</f>
        <v>18997.4934440714</v>
      </c>
      <c r="I31" s="85" t="n">
        <f aca="false">I22*$S22</f>
        <v>18099.974068761</v>
      </c>
      <c r="J31" s="85" t="n">
        <f aca="false">J22*$S22</f>
        <v>18099.974068761</v>
      </c>
      <c r="K31" s="85" t="n">
        <f aca="false">K22*$S22</f>
        <v>18997.4934440714</v>
      </c>
      <c r="L31" s="85" t="n">
        <f aca="false">L22*$S22</f>
        <v>17202.4546934505</v>
      </c>
      <c r="M31" s="85" t="n">
        <f aca="false">M22*$S22</f>
        <v>18099.974068761</v>
      </c>
      <c r="N31" s="88" t="n">
        <f aca="false">SUM(B31:M31)</f>
        <v>218994.727575753</v>
      </c>
    </row>
    <row r="32" customFormat="false" ht="14.25" hidden="false" customHeight="true" outlineLevel="0" collapsed="false">
      <c r="A32" s="129" t="str">
        <f aca="false">'Staff P&amp;L'!$A$7</f>
        <v>Lisa Danforth</v>
      </c>
      <c r="B32" s="85" t="n">
        <f aca="false">B23*$S23</f>
        <v>31712.3512609697</v>
      </c>
      <c r="C32" s="85" t="n">
        <f aca="false">C23*$S23</f>
        <v>29917.3125103487</v>
      </c>
      <c r="D32" s="85" t="n">
        <f aca="false">D23*$S23</f>
        <v>33507.3900115906</v>
      </c>
      <c r="E32" s="85" t="n">
        <f aca="false">E23*$S23</f>
        <v>33507.3900115906</v>
      </c>
      <c r="F32" s="85" t="n">
        <f aca="false">F23*$S23</f>
        <v>29917.3125103487</v>
      </c>
      <c r="G32" s="85" t="n">
        <f aca="false">G23*$S23</f>
        <v>33507.3900115906</v>
      </c>
      <c r="H32" s="85" t="n">
        <f aca="false">H23*$S23</f>
        <v>33507.3900115906</v>
      </c>
      <c r="I32" s="85" t="n">
        <f aca="false">I23*$S23</f>
        <v>31712.3512609697</v>
      </c>
      <c r="J32" s="85" t="n">
        <f aca="false">J23*$S23</f>
        <v>31712.3512609697</v>
      </c>
      <c r="K32" s="85" t="n">
        <f aca="false">K23*$S23</f>
        <v>33507.3900115906</v>
      </c>
      <c r="L32" s="85" t="n">
        <f aca="false">L23*$S23</f>
        <v>29917.3125103487</v>
      </c>
      <c r="M32" s="85" t="n">
        <f aca="false">M23*$S23</f>
        <v>31712.3512609697</v>
      </c>
      <c r="N32" s="88" t="n">
        <f aca="false">SUM(B32:M32)</f>
        <v>384138.292632878</v>
      </c>
    </row>
    <row r="33" customFormat="false" ht="14.25" hidden="false" customHeight="true" outlineLevel="0" collapsed="false">
      <c r="A33" s="129" t="str">
        <f aca="false">'Staff P&amp;L'!$A$8</f>
        <v>Jessica Bumphus</v>
      </c>
      <c r="B33" s="85" t="n">
        <f aca="false">B24*$S24</f>
        <v>19435.14098708</v>
      </c>
      <c r="C33" s="85" t="n">
        <f aca="false">C24*$S24</f>
        <v>18335.0386670566</v>
      </c>
      <c r="D33" s="85" t="n">
        <f aca="false">D24*$S24</f>
        <v>20535.2433071034</v>
      </c>
      <c r="E33" s="85" t="n">
        <f aca="false">E24*$S24</f>
        <v>20535.2433071034</v>
      </c>
      <c r="F33" s="85" t="n">
        <f aca="false">F24*$S24</f>
        <v>18335.0386670566</v>
      </c>
      <c r="G33" s="85" t="n">
        <f aca="false">G24*$S24</f>
        <v>20535.2433071034</v>
      </c>
      <c r="H33" s="85" t="n">
        <f aca="false">H24*$S24</f>
        <v>20535.2433071034</v>
      </c>
      <c r="I33" s="85" t="n">
        <f aca="false">I24*$S24</f>
        <v>19435.14098708</v>
      </c>
      <c r="J33" s="85" t="n">
        <f aca="false">J24*$S24</f>
        <v>19435.14098708</v>
      </c>
      <c r="K33" s="85" t="n">
        <f aca="false">K24*$S24</f>
        <v>20535.2433071034</v>
      </c>
      <c r="L33" s="85" t="n">
        <f aca="false">L24*$S24</f>
        <v>18335.0386670566</v>
      </c>
      <c r="M33" s="85" t="n">
        <f aca="false">M24*$S24</f>
        <v>19435.14098708</v>
      </c>
      <c r="N33" s="88" t="n">
        <f aca="false">SUM(B33:M33)</f>
        <v>235421.896485007</v>
      </c>
    </row>
    <row r="34" customFormat="false" ht="14.25" hidden="false" customHeight="true" outlineLevel="0" collapsed="false">
      <c r="A34" s="129" t="str">
        <f aca="false">'Staff P&amp;L'!$A$9</f>
        <v>Christine Johnson</v>
      </c>
      <c r="B34" s="85" t="n">
        <f aca="false">B25*$S25</f>
        <v>12216.8057952974</v>
      </c>
      <c r="C34" s="85" t="n">
        <f aca="false">C25*$S25</f>
        <v>11525.2884861296</v>
      </c>
      <c r="D34" s="85" t="n">
        <f aca="false">D25*$S25</f>
        <v>12908.3231044651</v>
      </c>
      <c r="E34" s="85" t="n">
        <f aca="false">E25*$S25</f>
        <v>12908.3231044651</v>
      </c>
      <c r="F34" s="85" t="n">
        <f aca="false">F25*$S25</f>
        <v>11525.2884861296</v>
      </c>
      <c r="G34" s="85" t="n">
        <f aca="false">G25*$S25</f>
        <v>12908.3231044651</v>
      </c>
      <c r="H34" s="85" t="n">
        <f aca="false">H25*$S25</f>
        <v>12908.3231044651</v>
      </c>
      <c r="I34" s="85" t="n">
        <f aca="false">I25*$S25</f>
        <v>12216.8057952974</v>
      </c>
      <c r="J34" s="85" t="n">
        <f aca="false">J25*$S25</f>
        <v>12216.8057952974</v>
      </c>
      <c r="K34" s="85" t="n">
        <f aca="false">K25*$S25</f>
        <v>12908.3231044651</v>
      </c>
      <c r="L34" s="85" t="n">
        <f aca="false">L25*$S25</f>
        <v>11525.2884861296</v>
      </c>
      <c r="M34" s="85" t="n">
        <f aca="false">M25*$S25</f>
        <v>12216.8057952974</v>
      </c>
      <c r="N34" s="88" t="n">
        <f aca="false">SUM(B34:M34)</f>
        <v>147984.704161904</v>
      </c>
    </row>
    <row r="35" customFormat="false" ht="14.25" hidden="false" customHeight="true" outlineLevel="0" collapsed="false">
      <c r="A35" s="129" t="str">
        <f aca="false">'Staff P&amp;L'!$A$10</f>
        <v>Valentina Dikova</v>
      </c>
      <c r="B35" s="85" t="n">
        <f aca="false">B26*$S26</f>
        <v>12793.0702196038</v>
      </c>
      <c r="C35" s="85" t="n">
        <f aca="false">C26*$S26</f>
        <v>12101.5529104361</v>
      </c>
      <c r="D35" s="85" t="n">
        <f aca="false">D26*$S26</f>
        <v>13484.5875287716</v>
      </c>
      <c r="E35" s="85" t="n">
        <f aca="false">E26*$S26</f>
        <v>13484.5875287716</v>
      </c>
      <c r="F35" s="85" t="n">
        <f aca="false">F26*$S26</f>
        <v>12101.5529104361</v>
      </c>
      <c r="G35" s="85" t="n">
        <f aca="false">G26*$S26</f>
        <v>13484.5875287716</v>
      </c>
      <c r="H35" s="85" t="n">
        <f aca="false">H26*$S26</f>
        <v>13484.5875287716</v>
      </c>
      <c r="I35" s="85" t="n">
        <f aca="false">I26*$S26</f>
        <v>12793.0702196038</v>
      </c>
      <c r="J35" s="85" t="n">
        <f aca="false">J26*$S26</f>
        <v>12793.0702196038</v>
      </c>
      <c r="K35" s="85" t="n">
        <f aca="false">K26*$S26</f>
        <v>13484.5875287716</v>
      </c>
      <c r="L35" s="85" t="n">
        <f aca="false">L26*$S26</f>
        <v>12101.5529104361</v>
      </c>
      <c r="M35" s="85" t="n">
        <f aca="false">M26*$S26</f>
        <v>12793.0702196038</v>
      </c>
      <c r="N35" s="88" t="n">
        <f aca="false">SUM(B35:M35)</f>
        <v>154899.877253582</v>
      </c>
    </row>
    <row r="36" customFormat="false" ht="14.25" hidden="false" customHeight="true" outlineLevel="0" collapsed="false">
      <c r="A36" s="129" t="str">
        <f aca="false">'Staff P&amp;L'!$A$11</f>
        <v>Josephine Mack</v>
      </c>
      <c r="B36" s="85" t="n">
        <f aca="false">B27*$S27</f>
        <v>2091.83986023252</v>
      </c>
      <c r="C36" s="85" t="n">
        <f aca="false">C27*$S27</f>
        <v>1988.11226385735</v>
      </c>
      <c r="D36" s="85" t="n">
        <f aca="false">D27*$S27</f>
        <v>2195.56745660769</v>
      </c>
      <c r="E36" s="85" t="n">
        <f aca="false">E27*$S27</f>
        <v>2195.56745660769</v>
      </c>
      <c r="F36" s="85" t="n">
        <f aca="false">F27*$S27</f>
        <v>1988.11226385735</v>
      </c>
      <c r="G36" s="85" t="n">
        <f aca="false">G27*$S27</f>
        <v>2195.56745660769</v>
      </c>
      <c r="H36" s="85" t="n">
        <f aca="false">H27*$S27</f>
        <v>2195.56745660769</v>
      </c>
      <c r="I36" s="85" t="n">
        <f aca="false">I27*$S27</f>
        <v>2091.83986023252</v>
      </c>
      <c r="J36" s="85" t="n">
        <f aca="false">J27*$S27</f>
        <v>2091.83986023252</v>
      </c>
      <c r="K36" s="85" t="n">
        <f aca="false">K27*$S27</f>
        <v>2195.56745660769</v>
      </c>
      <c r="L36" s="85" t="n">
        <f aca="false">L27*$S27</f>
        <v>1988.11226385735</v>
      </c>
      <c r="M36" s="85" t="n">
        <f aca="false">M27*$S27</f>
        <v>2091.83986023252</v>
      </c>
      <c r="N36" s="88" t="n">
        <f aca="false">SUM(B36:M36)</f>
        <v>25309.5335155406</v>
      </c>
    </row>
    <row r="37" customFormat="false" ht="14.25" hidden="false" customHeight="true" outlineLevel="0" collapsed="false">
      <c r="A37" s="130" t="s">
        <v>404</v>
      </c>
      <c r="B37" s="131" t="n">
        <f aca="false">SUM(B31:B36)</f>
        <v>96349.1821919444</v>
      </c>
      <c r="C37" s="131" t="n">
        <f aca="false">SUM(C31:C36)</f>
        <v>91069.7595312789</v>
      </c>
      <c r="D37" s="131" t="n">
        <f aca="false">SUM(D31:D36)</f>
        <v>101628.60485261</v>
      </c>
      <c r="E37" s="131" t="n">
        <f aca="false">SUM(E31:E36)</f>
        <v>101628.60485261</v>
      </c>
      <c r="F37" s="131" t="n">
        <f aca="false">SUM(F31:F36)</f>
        <v>91069.7595312789</v>
      </c>
      <c r="G37" s="131" t="n">
        <f aca="false">SUM(G31:G36)</f>
        <v>101628.60485261</v>
      </c>
      <c r="H37" s="131" t="n">
        <f aca="false">SUM(H31:H36)</f>
        <v>101628.60485261</v>
      </c>
      <c r="I37" s="131" t="n">
        <f aca="false">SUM(I31:I36)</f>
        <v>96349.1821919444</v>
      </c>
      <c r="J37" s="131" t="n">
        <f aca="false">SUM(J31:J36)</f>
        <v>96349.1821919444</v>
      </c>
      <c r="K37" s="131" t="n">
        <f aca="false">SUM(K31:K36)</f>
        <v>101628.60485261</v>
      </c>
      <c r="L37" s="131" t="n">
        <f aca="false">SUM(L31:L36)</f>
        <v>91069.7595312789</v>
      </c>
      <c r="M37" s="131" t="n">
        <f aca="false">SUM(M31:M36)</f>
        <v>96349.1821919444</v>
      </c>
      <c r="N37" s="131" t="n">
        <f aca="false">SUM(N31:N36)</f>
        <v>1166749.03162466</v>
      </c>
    </row>
    <row r="39" customFormat="false" ht="14.25" hidden="false" customHeight="true" outlineLevel="0" collapsed="false">
      <c r="A39" s="28" t="s">
        <v>405</v>
      </c>
      <c r="B39" s="27"/>
      <c r="C39" s="27"/>
      <c r="D39" s="27"/>
      <c r="E39" s="27"/>
      <c r="F39" s="27"/>
      <c r="G39" s="27"/>
      <c r="H39" s="27"/>
      <c r="I39" s="27"/>
      <c r="J39" s="27"/>
      <c r="K39" s="27"/>
      <c r="L39" s="27"/>
      <c r="M39" s="27"/>
      <c r="N39" s="27"/>
    </row>
    <row r="40" customFormat="false" ht="14.25" hidden="false" customHeight="true" outlineLevel="0" collapsed="false">
      <c r="A40" s="129" t="str">
        <f aca="false">'Staff P&amp;L'!$A$8</f>
        <v>Jessica Bumphus</v>
      </c>
      <c r="B40" s="85" t="n">
        <f aca="false">B14*'Staff P&amp;L'!$D$8</f>
        <v>10560</v>
      </c>
      <c r="C40" s="85" t="n">
        <f aca="false">C14*'Staff P&amp;L'!$D$8</f>
        <v>9600</v>
      </c>
      <c r="D40" s="85" t="n">
        <f aca="false">D14*'Staff P&amp;L'!$D$8</f>
        <v>10560</v>
      </c>
      <c r="E40" s="85" t="n">
        <f aca="false">E14*'Staff P&amp;L'!$D$8</f>
        <v>10560</v>
      </c>
      <c r="F40" s="85" t="n">
        <f aca="false">F14*'Staff P&amp;L'!$D$8</f>
        <v>10080</v>
      </c>
      <c r="G40" s="85" t="n">
        <f aca="false">G14*'Staff P&amp;L'!$D$8</f>
        <v>10560</v>
      </c>
      <c r="H40" s="85" t="n">
        <f aca="false">H14*'Staff P&amp;L'!$D$8</f>
        <v>11040</v>
      </c>
      <c r="I40" s="85" t="n">
        <f aca="false">I14*'Staff P&amp;L'!$D$8</f>
        <v>10080</v>
      </c>
      <c r="J40" s="85" t="n">
        <f aca="false">J14*'Staff P&amp;L'!$D$8</f>
        <v>10560</v>
      </c>
      <c r="K40" s="85" t="n">
        <f aca="false">K14*'Staff P&amp;L'!$D$8</f>
        <v>10560</v>
      </c>
      <c r="L40" s="85" t="n">
        <f aca="false">L14*'Staff P&amp;L'!$D$8</f>
        <v>10080</v>
      </c>
      <c r="M40" s="85" t="n">
        <f aca="false">M14*'Staff P&amp;L'!$D$8</f>
        <v>11040</v>
      </c>
      <c r="N40" s="88" t="n">
        <f aca="false">SUM(B40:M40)</f>
        <v>125280</v>
      </c>
      <c r="P40" s="14" t="s">
        <v>406</v>
      </c>
    </row>
    <row r="41" customFormat="false" ht="14.25" hidden="false" customHeight="true" outlineLevel="0" collapsed="false">
      <c r="A41" s="129" t="str">
        <f aca="false">'Staff P&amp;L'!$A$9</f>
        <v>Christine Johnson</v>
      </c>
      <c r="B41" s="85" t="n">
        <f aca="false">B14*'Staff P&amp;L'!$D$9</f>
        <v>7040</v>
      </c>
      <c r="C41" s="85" t="n">
        <f aca="false">C14*'Staff P&amp;L'!$D$9</f>
        <v>6400</v>
      </c>
      <c r="D41" s="85" t="n">
        <f aca="false">D14*'Staff P&amp;L'!$D$9</f>
        <v>7040</v>
      </c>
      <c r="E41" s="85" t="n">
        <f aca="false">E14*'Staff P&amp;L'!$D$9</f>
        <v>7040</v>
      </c>
      <c r="F41" s="85" t="n">
        <f aca="false">F14*'Staff P&amp;L'!$D$9</f>
        <v>6720</v>
      </c>
      <c r="G41" s="85" t="n">
        <f aca="false">G14*'Staff P&amp;L'!$D$9</f>
        <v>7040</v>
      </c>
      <c r="H41" s="85" t="n">
        <f aca="false">H14*'Staff P&amp;L'!$D$9</f>
        <v>7360</v>
      </c>
      <c r="I41" s="85" t="n">
        <f aca="false">I14*'Staff P&amp;L'!$D$9</f>
        <v>6720</v>
      </c>
      <c r="J41" s="85" t="n">
        <f aca="false">J14*'Staff P&amp;L'!$D$9</f>
        <v>7040</v>
      </c>
      <c r="K41" s="85" t="n">
        <f aca="false">K14*'Staff P&amp;L'!$D$9</f>
        <v>7040</v>
      </c>
      <c r="L41" s="85" t="n">
        <f aca="false">L14*'Staff P&amp;L'!$D$9</f>
        <v>6720</v>
      </c>
      <c r="M41" s="85" t="n">
        <f aca="false">M14*'Staff P&amp;L'!$D$9</f>
        <v>7360</v>
      </c>
      <c r="N41" s="88" t="n">
        <f aca="false">SUM(B41:M41)</f>
        <v>83520</v>
      </c>
    </row>
    <row r="42" customFormat="false" ht="14.25" hidden="false" customHeight="true" outlineLevel="0" collapsed="false">
      <c r="A42" s="23" t="s">
        <v>407</v>
      </c>
      <c r="B42" s="86" t="n">
        <f aca="false">SUM(B40:B41)</f>
        <v>17600</v>
      </c>
      <c r="C42" s="86" t="n">
        <f aca="false">SUM(C40:C41)</f>
        <v>16000</v>
      </c>
      <c r="D42" s="86" t="n">
        <f aca="false">SUM(D40:D41)</f>
        <v>17600</v>
      </c>
      <c r="E42" s="86" t="n">
        <f aca="false">SUM(E40:E41)</f>
        <v>17600</v>
      </c>
      <c r="F42" s="86" t="n">
        <f aca="false">SUM(F40:F41)</f>
        <v>16800</v>
      </c>
      <c r="G42" s="86" t="n">
        <f aca="false">SUM(G40:G41)</f>
        <v>17600</v>
      </c>
      <c r="H42" s="86" t="n">
        <f aca="false">SUM(H40:H41)</f>
        <v>18400</v>
      </c>
      <c r="I42" s="86" t="n">
        <f aca="false">SUM(I40:I41)</f>
        <v>16800</v>
      </c>
      <c r="J42" s="86" t="n">
        <f aca="false">SUM(J40:J41)</f>
        <v>17600</v>
      </c>
      <c r="K42" s="86" t="n">
        <f aca="false">SUM(K40:K41)</f>
        <v>17600</v>
      </c>
      <c r="L42" s="86" t="n">
        <f aca="false">SUM(L40:L41)</f>
        <v>16800</v>
      </c>
      <c r="M42" s="86" t="n">
        <f aca="false">SUM(M40:M41)</f>
        <v>18400</v>
      </c>
      <c r="N42" s="86" t="n">
        <f aca="false">SUM(N40:N41)</f>
        <v>208800</v>
      </c>
    </row>
    <row r="44" customFormat="false" ht="14.25" hidden="false" customHeight="true" outlineLevel="0" collapsed="false">
      <c r="A44" s="43" t="s">
        <v>408</v>
      </c>
      <c r="B44" s="43"/>
      <c r="C44" s="43"/>
      <c r="D44" s="43"/>
      <c r="E44" s="43"/>
      <c r="F44" s="43"/>
      <c r="G44" s="43"/>
      <c r="H44" s="43"/>
      <c r="I44" s="43"/>
      <c r="J44" s="43"/>
      <c r="K44" s="43"/>
      <c r="L44" s="43"/>
      <c r="M44" s="43"/>
      <c r="N44" s="43"/>
    </row>
    <row r="45" customFormat="false" ht="14.25" hidden="false" customHeight="true" outlineLevel="0" collapsed="false">
      <c r="A45" s="43" t="s">
        <v>409</v>
      </c>
      <c r="B45" s="43"/>
      <c r="C45" s="43"/>
      <c r="D45" s="43"/>
      <c r="E45" s="43"/>
      <c r="F45" s="43"/>
      <c r="G45" s="43"/>
      <c r="H45" s="43"/>
      <c r="I45" s="43"/>
      <c r="J45" s="43"/>
      <c r="K45" s="43"/>
      <c r="L45" s="43"/>
      <c r="M45" s="43"/>
      <c r="N45" s="43"/>
    </row>
    <row r="46" customFormat="false" ht="14.25" hidden="false" customHeight="true" outlineLevel="0" collapsed="false">
      <c r="A46" s="43" t="s">
        <v>410</v>
      </c>
      <c r="B46" s="43"/>
      <c r="C46" s="43"/>
      <c r="D46" s="43"/>
      <c r="E46" s="43"/>
      <c r="F46" s="43"/>
      <c r="G46" s="43"/>
      <c r="H46" s="43"/>
      <c r="I46" s="43"/>
      <c r="J46" s="43"/>
      <c r="K46" s="43"/>
      <c r="L46" s="43"/>
      <c r="M46" s="43"/>
      <c r="N46" s="43"/>
    </row>
    <row r="47" customFormat="false" ht="14.25" hidden="false" customHeight="true" outlineLevel="0" collapsed="false">
      <c r="A47" s="43" t="s">
        <v>411</v>
      </c>
      <c r="B47" s="43"/>
      <c r="C47" s="43"/>
      <c r="D47" s="43"/>
      <c r="E47" s="43"/>
      <c r="F47" s="43"/>
      <c r="G47" s="43"/>
      <c r="H47" s="43"/>
      <c r="I47" s="43"/>
      <c r="J47" s="43"/>
      <c r="K47" s="43"/>
      <c r="L47" s="43"/>
      <c r="M47" s="43"/>
      <c r="N47" s="43"/>
    </row>
    <row r="50" customFormat="false" ht="14.25" hidden="false" customHeight="true" outlineLevel="0" collapsed="false">
      <c r="A50" s="28" t="s">
        <v>412</v>
      </c>
      <c r="B50" s="27"/>
      <c r="C50" s="27"/>
      <c r="D50" s="27"/>
      <c r="E50" s="27"/>
      <c r="F50" s="27"/>
      <c r="G50" s="27"/>
      <c r="H50" s="27"/>
      <c r="I50" s="27"/>
      <c r="J50" s="27"/>
      <c r="K50" s="27"/>
      <c r="L50" s="27"/>
      <c r="M50" s="27"/>
      <c r="N50" s="27"/>
    </row>
    <row r="51" customFormat="false" ht="14.25" hidden="false" customHeight="true" outlineLevel="0" collapsed="false">
      <c r="A51" s="25" t="s">
        <v>413</v>
      </c>
      <c r="C51" s="11" t="n">
        <v>958.7</v>
      </c>
    </row>
    <row r="52" customFormat="false" ht="14.25" hidden="false" customHeight="true" outlineLevel="0" collapsed="false">
      <c r="A52" s="25" t="s">
        <v>414</v>
      </c>
      <c r="C52" s="11" t="n">
        <v>630.9</v>
      </c>
    </row>
    <row r="53" customFormat="false" ht="14.25" hidden="false" customHeight="true" outlineLevel="0" collapsed="false">
      <c r="A53" s="25" t="s">
        <v>415</v>
      </c>
      <c r="C53" s="11" t="n">
        <v>214.4</v>
      </c>
    </row>
    <row r="54" customFormat="false" ht="14.25" hidden="false" customHeight="true" outlineLevel="0" collapsed="false">
      <c r="A54" s="25" t="s">
        <v>416</v>
      </c>
      <c r="C54" s="11" t="n">
        <v>113.4</v>
      </c>
    </row>
    <row r="55" customFormat="false" ht="14.25" hidden="false" customHeight="true" outlineLevel="0" collapsed="false">
      <c r="A55" s="25" t="s">
        <v>417</v>
      </c>
      <c r="C55" s="93" t="n">
        <f aca="false">IFERROR(C52/C51,0)</f>
        <v>0.658078648169396</v>
      </c>
      <c r="E55" s="18" t="s">
        <v>418</v>
      </c>
    </row>
    <row r="56" customFormat="false" ht="14.25" hidden="false" customHeight="true" outlineLevel="0" collapsed="false">
      <c r="A56" s="25" t="s">
        <v>419</v>
      </c>
      <c r="C56" s="93" t="n">
        <f aca="false">IFERROR(C52/(C51-C54),0)</f>
        <v>0.746362238258606</v>
      </c>
      <c r="E56" s="18" t="s">
        <v>420</v>
      </c>
    </row>
    <row r="57" customFormat="false" ht="14.25" hidden="false" customHeight="true" outlineLevel="0" collapsed="false">
      <c r="A57" s="25" t="s">
        <v>421</v>
      </c>
      <c r="C57" s="132" t="n">
        <f aca="false">($H$13-$P$22-$R$22*$H$17)*$Q$22+($H$13-$P$23-$R$23*$H$17)*$Q$23+($H$13-$P$24-$R$24*$H$17)*$Q$24+($H$13-$P$25-$R$25*$H$17)*$Q$25+($H$13-$P$26-$R$26*$H$17)*$Q$26+($H$13-$P$27-$R$27*$H$17)*$Q$27</f>
        <v>714.066666666667</v>
      </c>
      <c r="E57" s="14" t="s">
        <v>422</v>
      </c>
    </row>
    <row r="58" customFormat="false" ht="14.25" hidden="false" customHeight="true" outlineLevel="0" collapsed="false">
      <c r="A58" s="33" t="s">
        <v>423</v>
      </c>
      <c r="C58" s="42" t="n">
        <f aca="false">IFERROR(C52/C57,0)</f>
        <v>0.883530949491177</v>
      </c>
      <c r="E58" s="108" t="s">
        <v>424</v>
      </c>
    </row>
    <row r="59" customFormat="false" ht="14.25" hidden="false" customHeight="true" outlineLevel="0" collapsed="false">
      <c r="A59" s="25" t="s">
        <v>425</v>
      </c>
      <c r="C59" s="34" t="n">
        <f aca="false">$H$28</f>
        <v>649.800666666667</v>
      </c>
      <c r="D59" s="93" t="n">
        <f aca="false">IFERROR(C52/C59,0)</f>
        <v>0.970913131308986</v>
      </c>
      <c r="E59" s="14" t="s">
        <v>426</v>
      </c>
    </row>
    <row r="60" customFormat="false" ht="14.25" hidden="false" customHeight="true" outlineLevel="0" collapsed="false">
      <c r="A60" s="133" t="s">
        <v>427</v>
      </c>
      <c r="B60" s="27"/>
      <c r="C60" s="134" t="n">
        <f aca="false">MAX(0,$H$13*6-C52-C53-C54)</f>
        <v>97.3</v>
      </c>
      <c r="D60" s="27"/>
      <c r="E60" s="135" t="s">
        <v>428</v>
      </c>
      <c r="F60" s="27"/>
      <c r="G60" s="27"/>
      <c r="H60" s="27"/>
      <c r="I60" s="27"/>
      <c r="J60" s="27"/>
      <c r="K60" s="27"/>
      <c r="L60" s="27"/>
      <c r="M60" s="27"/>
      <c r="N60" s="27"/>
    </row>
    <row r="61" customFormat="false" ht="14.25" hidden="false" customHeight="true" outlineLevel="0" collapsed="false">
      <c r="A61" s="136" t="s">
        <v>429</v>
      </c>
      <c r="B61" s="136"/>
      <c r="C61" s="136"/>
      <c r="D61" s="136"/>
      <c r="E61" s="136"/>
      <c r="F61" s="136"/>
      <c r="G61" s="136"/>
      <c r="H61" s="136"/>
      <c r="I61" s="136"/>
      <c r="J61" s="136"/>
      <c r="K61" s="136"/>
      <c r="L61" s="136"/>
      <c r="M61" s="136"/>
      <c r="N61" s="136"/>
    </row>
    <row r="62" customFormat="false" ht="14.25" hidden="false" customHeight="true" outlineLevel="0" collapsed="false">
      <c r="A62" s="33" t="s">
        <v>430</v>
      </c>
      <c r="C62" s="12" t="n">
        <v>400000</v>
      </c>
      <c r="E62" s="4" t="s">
        <v>431</v>
      </c>
    </row>
    <row r="63" customFormat="false" ht="14.25" hidden="false" customHeight="true" outlineLevel="0" collapsed="false">
      <c r="A63" s="25" t="s">
        <v>432</v>
      </c>
      <c r="C63" s="114" t="n">
        <f aca="false">'Staff P&amp;L'!$M$12</f>
        <v>783130.9284</v>
      </c>
      <c r="E63" s="4" t="s">
        <v>433</v>
      </c>
    </row>
    <row r="64" customFormat="false" ht="14.25" hidden="false" customHeight="true" outlineLevel="0" collapsed="false">
      <c r="A64" s="25" t="s">
        <v>434</v>
      </c>
      <c r="C64" s="114" t="n">
        <f aca="false">('Budget P&amp;L'!$N$13)+SUM('Budget P&amp;L'!$N$28:$N$39)+'Growth &amp; Hiring'!$N$24</f>
        <v>114956.905</v>
      </c>
      <c r="E64" s="4" t="s">
        <v>435</v>
      </c>
    </row>
    <row r="65" customFormat="false" ht="14.25" hidden="false" customHeight="true" outlineLevel="0" collapsed="false">
      <c r="A65" s="4" t="s">
        <v>436</v>
      </c>
      <c r="C65" s="111" t="n">
        <v>0</v>
      </c>
      <c r="E65" s="14" t="s">
        <v>437</v>
      </c>
    </row>
    <row r="66" customFormat="false" ht="14.25" hidden="false" customHeight="true" outlineLevel="0" collapsed="false">
      <c r="A66" s="87" t="s">
        <v>438</v>
      </c>
      <c r="C66" s="88" t="n">
        <f aca="false">C63+C64+C65</f>
        <v>898087.8334</v>
      </c>
    </row>
    <row r="67" customFormat="false" ht="14.25" hidden="false" customHeight="true" outlineLevel="0" collapsed="false">
      <c r="A67" s="33" t="s">
        <v>439</v>
      </c>
      <c r="C67" s="31" t="n">
        <f aca="false">SUM($N$32:$N$36)+'Growth &amp; Hiring'!$N$23</f>
        <v>1026988.21039837</v>
      </c>
      <c r="E67" s="4" t="s">
        <v>440</v>
      </c>
    </row>
    <row r="68" customFormat="false" ht="14.25" hidden="false" customHeight="true" outlineLevel="0" collapsed="false">
      <c r="A68" s="33" t="s">
        <v>441</v>
      </c>
      <c r="C68" s="31" t="n">
        <f aca="false">MAX(0,C62+C66-C67)</f>
        <v>271099.62300163</v>
      </c>
    </row>
    <row r="69" customFormat="false" ht="14.25" hidden="false" customHeight="true" outlineLevel="0" collapsed="false">
      <c r="A69" s="23" t="s">
        <v>442</v>
      </c>
      <c r="C69" s="78" t="n">
        <f aca="false">IFERROR(C68/$S$22,0)</f>
        <v>1099.47779944537</v>
      </c>
    </row>
    <row r="70" customFormat="false" ht="14.25" hidden="false" customHeight="true" outlineLevel="0" collapsed="false">
      <c r="A70" s="94" t="s">
        <v>443</v>
      </c>
      <c r="C70" s="137" t="n">
        <f aca="false">C69/12</f>
        <v>91.6231499537811</v>
      </c>
    </row>
    <row r="71" customFormat="false" ht="14.25" hidden="false" customHeight="true" outlineLevel="0" collapsed="false">
      <c r="A71" s="25" t="s">
        <v>444</v>
      </c>
      <c r="C71" s="34" t="n">
        <f aca="false">($N$13-$P$22*12-$R$22)*$T$22</f>
        <v>1776.32</v>
      </c>
      <c r="E71" s="4" t="s">
        <v>445</v>
      </c>
    </row>
    <row r="72" customFormat="false" ht="14.25" hidden="false" customHeight="true" outlineLevel="0" collapsed="false">
      <c r="A72" s="33" t="s">
        <v>446</v>
      </c>
      <c r="C72" s="138" t="str">
        <f aca="false">IF(C69&lt;=C71,"YES — "&amp;TEXT(C71-C69,"#,##0")&amp;" hrs of headroom","NO — needs "&amp;TEXT(C69-C71,"#,##0")&amp;" hrs more than he can work")</f>
        <v>YES — 677 hrs of headroom</v>
      </c>
      <c r="D72" s="138"/>
      <c r="E72" s="138"/>
      <c r="F72" s="138"/>
    </row>
    <row r="73" customFormat="false" ht="14.25" hidden="false" customHeight="true" outlineLevel="0" collapsed="false">
      <c r="A73" s="94" t="s">
        <v>447</v>
      </c>
      <c r="C73" s="139" t="n">
        <f aca="false">IFERROR(C69/(($N$13-$P$22*12-$R$22)),0)</f>
        <v>0.563257069387999</v>
      </c>
      <c r="E73" s="14" t="s">
        <v>448</v>
      </c>
    </row>
    <row r="75" customFormat="false" ht="14.25" hidden="false" customHeight="true" outlineLevel="0" collapsed="false">
      <c r="A75" s="87" t="s">
        <v>449</v>
      </c>
      <c r="B75" s="140" t="n">
        <f aca="false">IFERROR($C$69*MAX(0,(B$13-$P$22-$R$22*B$17))/($N$13-$P$22*12-$R$22),0)</f>
        <v>90.8721405279305</v>
      </c>
      <c r="C75" s="140" t="n">
        <f aca="false">IFERROR($C$69*MAX(0,(C$13-$P$22-$R$22*C$17))/($N$13-$P$22*12-$R$22),0)</f>
        <v>86.3660839728265</v>
      </c>
      <c r="D75" s="140" t="n">
        <f aca="false">IFERROR($C$69*MAX(0,(D$13-$P$22-$R$22*D$17))/($N$13-$P$22*12-$R$22),0)</f>
        <v>95.3781970830345</v>
      </c>
      <c r="E75" s="140" t="n">
        <f aca="false">IFERROR($C$69*MAX(0,(E$13-$P$22-$R$22*E$17))/($N$13-$P$22*12-$R$22),0)</f>
        <v>95.3781970830345</v>
      </c>
      <c r="F75" s="140" t="n">
        <f aca="false">IFERROR($C$69*MAX(0,(F$13-$P$22-$R$22*F$17))/($N$13-$P$22*12-$R$22),0)</f>
        <v>86.3660839728265</v>
      </c>
      <c r="G75" s="140" t="n">
        <f aca="false">IFERROR($C$69*MAX(0,(G$13-$P$22-$R$22*G$17))/($N$13-$P$22*12-$R$22),0)</f>
        <v>95.3781970830345</v>
      </c>
      <c r="H75" s="140" t="n">
        <f aca="false">IFERROR($C$69*MAX(0,(H$13-$P$22-$R$22*H$17))/($N$13-$P$22*12-$R$22),0)</f>
        <v>95.3781970830345</v>
      </c>
      <c r="I75" s="140" t="n">
        <f aca="false">IFERROR($C$69*MAX(0,(I$13-$P$22-$R$22*I$17))/($N$13-$P$22*12-$R$22),0)</f>
        <v>90.8721405279305</v>
      </c>
      <c r="J75" s="140" t="n">
        <f aca="false">IFERROR($C$69*MAX(0,(J$13-$P$22-$R$22*J$17))/($N$13-$P$22*12-$R$22),0)</f>
        <v>90.8721405279305</v>
      </c>
      <c r="K75" s="140" t="n">
        <f aca="false">IFERROR($C$69*MAX(0,(K$13-$P$22-$R$22*K$17))/($N$13-$P$22*12-$R$22),0)</f>
        <v>95.3781970830345</v>
      </c>
      <c r="L75" s="140" t="n">
        <f aca="false">IFERROR($C$69*MAX(0,(L$13-$P$22-$R$22*L$17))/($N$13-$P$22*12-$R$22),0)</f>
        <v>86.3660839728265</v>
      </c>
      <c r="M75" s="140" t="n">
        <f aca="false">IFERROR($C$69*MAX(0,(M$13-$P$22-$R$22*M$17))/($N$13-$P$22*12-$R$22),0)</f>
        <v>90.8721405279305</v>
      </c>
      <c r="N75" s="123" t="n">
        <f aca="false">SUM(B75:M75)</f>
        <v>1099.47779944537</v>
      </c>
    </row>
    <row r="76" customFormat="false" ht="14.25" hidden="false" customHeight="true" outlineLevel="0" collapsed="false">
      <c r="A76" s="14" t="s">
        <v>450</v>
      </c>
    </row>
    <row r="77" customFormat="false" ht="14.25" hidden="false" customHeight="true" outlineLevel="0" collapsed="false">
      <c r="A77" s="141" t="s">
        <v>451</v>
      </c>
    </row>
    <row r="78" customFormat="false" ht="14.25" hidden="false" customHeight="true" outlineLevel="0" collapsed="false">
      <c r="A78" s="25" t="s">
        <v>452</v>
      </c>
      <c r="C78" s="142" t="n">
        <f aca="false">'Budget P&amp;L'!$N$42</f>
        <v>347895.104574123</v>
      </c>
    </row>
    <row r="79" customFormat="false" ht="14.25" hidden="false" customHeight="true" outlineLevel="0" collapsed="false">
      <c r="A79" s="25" t="s">
        <v>453</v>
      </c>
      <c r="C79" s="143" t="n">
        <f aca="false">IFERROR((C78+C66-C67)/$S$22,0)</f>
        <v>888.160000000001</v>
      </c>
    </row>
    <row r="80" customFormat="false" ht="14.25" hidden="false" customHeight="true" outlineLevel="0" collapsed="false">
      <c r="A80" s="25" t="s">
        <v>454</v>
      </c>
      <c r="C80" s="143" t="n">
        <f aca="false">$N$22</f>
        <v>888.16</v>
      </c>
    </row>
    <row r="81" customFormat="false" ht="14.25" hidden="false" customHeight="true" outlineLevel="0" collapsed="false">
      <c r="A81" s="33" t="s">
        <v>455</v>
      </c>
      <c r="C81" s="144" t="str">
        <f aca="false">IF(ABS(C79-C80)&lt;1,"OK — formula reproduces the plan","CHECK — differs by "&amp;TEXT(C79-C80,"#,##0.0")&amp;" hrs")</f>
        <v>OK — formula reproduces the plan</v>
      </c>
      <c r="D81" s="144"/>
      <c r="E81" s="144"/>
      <c r="F81" s="144"/>
    </row>
    <row r="82" customFormat="false" ht="14.25" hidden="false" customHeight="true" outlineLevel="0" collapsed="false">
      <c r="A82" s="33" t="s">
        <v>456</v>
      </c>
      <c r="C82" s="145" t="n">
        <f aca="false">IFERROR(Benefits!$C$53/$S$22,0)</f>
        <v>394.484068296629</v>
      </c>
      <c r="E82" s="4" t="s">
        <v>457</v>
      </c>
    </row>
    <row r="83" customFormat="false" ht="25.5" hidden="false" customHeight="true" outlineLevel="0" collapsed="false">
      <c r="A83" s="118" t="s">
        <v>458</v>
      </c>
      <c r="B83" s="118"/>
      <c r="C83" s="118"/>
      <c r="D83" s="118"/>
      <c r="E83" s="118"/>
      <c r="F83" s="118"/>
      <c r="G83" s="118"/>
      <c r="H83" s="118"/>
      <c r="I83" s="118"/>
      <c r="J83" s="118"/>
      <c r="K83" s="118"/>
      <c r="L83" s="118"/>
      <c r="M83" s="118"/>
      <c r="N83" s="118"/>
    </row>
    <row r="84" customFormat="false" ht="25.5" hidden="false" customHeight="true" outlineLevel="0" collapsed="false">
      <c r="A84" s="118" t="s">
        <v>459</v>
      </c>
      <c r="B84" s="118"/>
      <c r="C84" s="118"/>
      <c r="D84" s="118"/>
      <c r="E84" s="118"/>
      <c r="F84" s="118"/>
      <c r="G84" s="118"/>
      <c r="H84" s="118"/>
      <c r="I84" s="118"/>
      <c r="J84" s="118"/>
      <c r="K84" s="118"/>
      <c r="L84" s="118"/>
      <c r="M84" s="118"/>
      <c r="N84" s="118"/>
    </row>
    <row r="85" customFormat="false" ht="25.5" hidden="false" customHeight="true" outlineLevel="0" collapsed="false">
      <c r="A85" s="118" t="s">
        <v>460</v>
      </c>
      <c r="B85" s="118"/>
      <c r="C85" s="118"/>
      <c r="D85" s="118"/>
      <c r="E85" s="118"/>
      <c r="F85" s="118"/>
      <c r="G85" s="118"/>
      <c r="H85" s="118"/>
      <c r="I85" s="118"/>
      <c r="J85" s="118"/>
      <c r="K85" s="118"/>
      <c r="L85" s="118"/>
      <c r="M85" s="118"/>
      <c r="N85" s="118"/>
    </row>
  </sheetData>
  <mergeCells count="11">
    <mergeCell ref="B18:F18"/>
    <mergeCell ref="A44:N44"/>
    <mergeCell ref="A45:N45"/>
    <mergeCell ref="A46:N46"/>
    <mergeCell ref="A47:N47"/>
    <mergeCell ref="A61:N61"/>
    <mergeCell ref="C72:F72"/>
    <mergeCell ref="C81:F81"/>
    <mergeCell ref="A83:N83"/>
    <mergeCell ref="A84:N84"/>
    <mergeCell ref="A85:N8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13" min="2" style="1" width="10.5"/>
    <col collapsed="false" customWidth="true" hidden="false" outlineLevel="0" max="14" min="14" style="1" width="13"/>
    <col collapsed="false" customWidth="true" hidden="false" outlineLevel="0" max="16" min="16" style="1" width="13"/>
    <col collapsed="false" customWidth="true" hidden="false" outlineLevel="0" max="20" min="17" style="1" width="11"/>
    <col collapsed="false" customWidth="true" hidden="false" outlineLevel="0" max="21" min="21" style="1" width="44"/>
  </cols>
  <sheetData>
    <row r="1" customFormat="false" ht="17.25" hidden="false" customHeight="true" outlineLevel="0" collapsed="false">
      <c r="A1" s="102" t="s">
        <v>0</v>
      </c>
    </row>
    <row r="2" customFormat="false" ht="15" hidden="false" customHeight="true" outlineLevel="0" collapsed="false">
      <c r="A2" s="103" t="s">
        <v>461</v>
      </c>
    </row>
    <row r="3" customFormat="false" ht="15" hidden="false" customHeight="true" outlineLevel="0" collapsed="false">
      <c r="A3" s="4" t="s">
        <v>462</v>
      </c>
    </row>
    <row r="5" customFormat="false" ht="15" hidden="false" customHeight="true" outlineLevel="0" collapsed="false">
      <c r="A5" s="27"/>
      <c r="B5" s="116" t="s">
        <v>356</v>
      </c>
      <c r="C5" s="116" t="s">
        <v>357</v>
      </c>
      <c r="D5" s="116" t="s">
        <v>358</v>
      </c>
      <c r="E5" s="116" t="s">
        <v>359</v>
      </c>
      <c r="F5" s="116" t="s">
        <v>360</v>
      </c>
      <c r="G5" s="116" t="s">
        <v>361</v>
      </c>
      <c r="H5" s="116" t="s">
        <v>362</v>
      </c>
      <c r="I5" s="116" t="s">
        <v>363</v>
      </c>
      <c r="J5" s="116" t="s">
        <v>364</v>
      </c>
      <c r="K5" s="116" t="s">
        <v>365</v>
      </c>
      <c r="L5" s="116" t="s">
        <v>366</v>
      </c>
      <c r="M5" s="116" t="s">
        <v>367</v>
      </c>
      <c r="N5" s="116" t="s">
        <v>463</v>
      </c>
    </row>
    <row r="7" customFormat="false" ht="15" hidden="false" customHeight="true" outlineLevel="0" collapsed="false">
      <c r="A7" s="28" t="s">
        <v>464</v>
      </c>
      <c r="B7" s="27"/>
      <c r="C7" s="27"/>
      <c r="D7" s="27"/>
      <c r="E7" s="27"/>
      <c r="F7" s="27"/>
      <c r="G7" s="27"/>
      <c r="H7" s="27"/>
      <c r="I7" s="27"/>
      <c r="J7" s="27"/>
      <c r="K7" s="27"/>
      <c r="L7" s="27"/>
      <c r="M7" s="27"/>
      <c r="N7" s="27"/>
    </row>
    <row r="8" customFormat="false" ht="15" hidden="false" customHeight="true" outlineLevel="0" collapsed="false">
      <c r="A8" s="25" t="s">
        <v>465</v>
      </c>
      <c r="B8" s="12" t="n">
        <v>0</v>
      </c>
      <c r="C8" s="12" t="n">
        <v>0</v>
      </c>
      <c r="D8" s="12" t="n">
        <v>0</v>
      </c>
      <c r="E8" s="12" t="n">
        <v>0</v>
      </c>
      <c r="F8" s="12" t="n">
        <v>0</v>
      </c>
      <c r="G8" s="12" t="n">
        <v>0</v>
      </c>
      <c r="H8" s="12" t="n">
        <v>0</v>
      </c>
      <c r="I8" s="12" t="n">
        <v>3000</v>
      </c>
      <c r="J8" s="12" t="n">
        <v>3000</v>
      </c>
      <c r="K8" s="12" t="n">
        <v>3000</v>
      </c>
      <c r="L8" s="12" t="n">
        <v>3000</v>
      </c>
      <c r="M8" s="12" t="n">
        <v>3000</v>
      </c>
      <c r="N8" s="88" t="n">
        <f aca="false">SUM(B8:M8)</f>
        <v>15000</v>
      </c>
      <c r="P8" s="14" t="s">
        <v>466</v>
      </c>
    </row>
    <row r="9" customFormat="false" ht="15" hidden="false" customHeight="true" outlineLevel="0" collapsed="false">
      <c r="A9" s="33" t="s">
        <v>467</v>
      </c>
      <c r="B9" s="31" t="n">
        <f aca="false">0+B8</f>
        <v>0</v>
      </c>
      <c r="C9" s="31" t="n">
        <f aca="false">B9+C8</f>
        <v>0</v>
      </c>
      <c r="D9" s="31" t="n">
        <f aca="false">C9+D8</f>
        <v>0</v>
      </c>
      <c r="E9" s="31" t="n">
        <f aca="false">D9+E8</f>
        <v>0</v>
      </c>
      <c r="F9" s="31" t="n">
        <f aca="false">E9+F8</f>
        <v>0</v>
      </c>
      <c r="G9" s="31" t="n">
        <f aca="false">F9+G8</f>
        <v>0</v>
      </c>
      <c r="H9" s="31" t="n">
        <f aca="false">G9+H8</f>
        <v>0</v>
      </c>
      <c r="I9" s="31" t="n">
        <f aca="false">H9+I8</f>
        <v>3000</v>
      </c>
      <c r="J9" s="31" t="n">
        <f aca="false">I9+J8</f>
        <v>6000</v>
      </c>
      <c r="K9" s="31" t="n">
        <f aca="false">J9+K8</f>
        <v>9000</v>
      </c>
      <c r="L9" s="31" t="n">
        <f aca="false">K9+L8</f>
        <v>12000</v>
      </c>
      <c r="M9" s="31" t="n">
        <f aca="false">L9+M8</f>
        <v>15000</v>
      </c>
      <c r="N9" s="88" t="n">
        <f aca="false">SUM(B9:M9)</f>
        <v>45000</v>
      </c>
      <c r="P9" s="108" t="s">
        <v>468</v>
      </c>
    </row>
    <row r="10" customFormat="false" ht="15" hidden="false" customHeight="true" outlineLevel="0" collapsed="false">
      <c r="A10" s="25" t="s">
        <v>469</v>
      </c>
      <c r="B10" s="12" t="n">
        <v>0</v>
      </c>
      <c r="C10" s="12" t="n">
        <v>0</v>
      </c>
      <c r="D10" s="12" t="n">
        <v>0</v>
      </c>
      <c r="E10" s="12" t="n">
        <v>0</v>
      </c>
      <c r="F10" s="12" t="n">
        <v>0</v>
      </c>
      <c r="G10" s="12" t="n">
        <v>0</v>
      </c>
      <c r="H10" s="12" t="n">
        <v>0</v>
      </c>
      <c r="I10" s="12" t="n">
        <v>0</v>
      </c>
      <c r="J10" s="12" t="n">
        <v>0</v>
      </c>
      <c r="K10" s="12" t="n">
        <v>0</v>
      </c>
      <c r="L10" s="12" t="n">
        <v>0</v>
      </c>
      <c r="M10" s="12" t="n">
        <v>0</v>
      </c>
      <c r="N10" s="88" t="n">
        <f aca="false">SUM(B10:M10)</f>
        <v>0</v>
      </c>
      <c r="P10" s="14" t="s">
        <v>470</v>
      </c>
    </row>
    <row r="11" customFormat="false" ht="15" hidden="false" customHeight="true" outlineLevel="0" collapsed="false">
      <c r="A11" s="23" t="s">
        <v>471</v>
      </c>
      <c r="B11" s="86" t="n">
        <f aca="false">B9+B10</f>
        <v>0</v>
      </c>
      <c r="C11" s="86" t="n">
        <f aca="false">C9+C10</f>
        <v>0</v>
      </c>
      <c r="D11" s="86" t="n">
        <f aca="false">D9+D10</f>
        <v>0</v>
      </c>
      <c r="E11" s="86" t="n">
        <f aca="false">E9+E10</f>
        <v>0</v>
      </c>
      <c r="F11" s="86" t="n">
        <f aca="false">F9+F10</f>
        <v>0</v>
      </c>
      <c r="G11" s="86" t="n">
        <f aca="false">G9+G10</f>
        <v>0</v>
      </c>
      <c r="H11" s="86" t="n">
        <f aca="false">H9+H10</f>
        <v>0</v>
      </c>
      <c r="I11" s="86" t="n">
        <f aca="false">I9+I10</f>
        <v>3000</v>
      </c>
      <c r="J11" s="86" t="n">
        <f aca="false">J9+J10</f>
        <v>6000</v>
      </c>
      <c r="K11" s="86" t="n">
        <f aca="false">K9+K10</f>
        <v>9000</v>
      </c>
      <c r="L11" s="86" t="n">
        <f aca="false">L9+L10</f>
        <v>12000</v>
      </c>
      <c r="M11" s="86" t="n">
        <f aca="false">M9+M10</f>
        <v>15000</v>
      </c>
      <c r="N11" s="86" t="n">
        <f aca="false">N9+N10</f>
        <v>45000</v>
      </c>
    </row>
    <row r="13" customFormat="false" ht="15" hidden="false" customHeight="true" outlineLevel="0" collapsed="false">
      <c r="A13" s="28" t="s">
        <v>472</v>
      </c>
      <c r="B13" s="27"/>
      <c r="C13" s="27"/>
      <c r="D13" s="27"/>
      <c r="E13" s="27"/>
      <c r="F13" s="27"/>
      <c r="G13" s="27"/>
      <c r="H13" s="27"/>
      <c r="I13" s="27"/>
      <c r="J13" s="27"/>
      <c r="K13" s="27"/>
      <c r="L13" s="27"/>
      <c r="M13" s="27"/>
      <c r="N13" s="27"/>
      <c r="P13" s="27"/>
      <c r="Q13" s="27"/>
      <c r="R13" s="27"/>
      <c r="S13" s="27"/>
      <c r="T13" s="27"/>
      <c r="U13" s="27"/>
    </row>
    <row r="14" customFormat="false" ht="27.75" hidden="false" customHeight="true" outlineLevel="0" collapsed="false">
      <c r="A14" s="125" t="s">
        <v>473</v>
      </c>
      <c r="B14" s="146" t="s">
        <v>383</v>
      </c>
      <c r="C14" s="146" t="s">
        <v>384</v>
      </c>
      <c r="D14" s="146" t="s">
        <v>385</v>
      </c>
      <c r="E14" s="146" t="s">
        <v>386</v>
      </c>
      <c r="F14" s="146" t="s">
        <v>387</v>
      </c>
      <c r="G14" s="146" t="s">
        <v>388</v>
      </c>
      <c r="H14" s="146" t="s">
        <v>389</v>
      </c>
      <c r="I14" s="146" t="s">
        <v>390</v>
      </c>
      <c r="J14" s="146" t="s">
        <v>391</v>
      </c>
      <c r="K14" s="146" t="s">
        <v>392</v>
      </c>
      <c r="L14" s="146" t="s">
        <v>393</v>
      </c>
      <c r="M14" s="146" t="s">
        <v>394</v>
      </c>
      <c r="N14" s="146" t="s">
        <v>474</v>
      </c>
      <c r="P14" s="7" t="s">
        <v>475</v>
      </c>
      <c r="Q14" s="7" t="s">
        <v>476</v>
      </c>
      <c r="R14" s="7" t="s">
        <v>477</v>
      </c>
      <c r="S14" s="7" t="s">
        <v>478</v>
      </c>
      <c r="T14" s="7" t="s">
        <v>399</v>
      </c>
    </row>
    <row r="15" customFormat="false" ht="15" hidden="false" customHeight="true" outlineLevel="0" collapsed="false">
      <c r="A15" s="147" t="s">
        <v>479</v>
      </c>
      <c r="B15" s="85" t="n">
        <f aca="false">IF(OR($Q15=0,1&lt;$Q15),0,$P15/12*(1+Assumptions!$B$21+Assumptions!$B$19))</f>
        <v>0</v>
      </c>
      <c r="C15" s="85" t="n">
        <f aca="false">IF(OR($Q15=0,2&lt;$Q15),0,$P15/12*(1+Assumptions!$B$21+Assumptions!$B$19))</f>
        <v>0</v>
      </c>
      <c r="D15" s="85" t="n">
        <f aca="false">IF(OR($Q15=0,3&lt;$Q15),0,$P15/12*(1+Assumptions!$B$21+Assumptions!$B$19))</f>
        <v>0</v>
      </c>
      <c r="E15" s="85" t="n">
        <f aca="false">IF(OR($Q15=0,4&lt;$Q15),0,$P15/12*(1+Assumptions!$B$21+Assumptions!$B$19))</f>
        <v>0</v>
      </c>
      <c r="F15" s="85" t="n">
        <f aca="false">IF(OR($Q15=0,5&lt;$Q15),0,$P15/12*(1+Assumptions!$B$21+Assumptions!$B$19))</f>
        <v>0</v>
      </c>
      <c r="G15" s="85" t="n">
        <f aca="false">IF(OR($Q15=0,6&lt;$Q15),0,$P15/12*(1+Assumptions!$B$21+Assumptions!$B$19))</f>
        <v>0</v>
      </c>
      <c r="H15" s="85" t="n">
        <f aca="false">IF(OR($Q15=0,7&lt;$Q15),0,$P15/12*(1+Assumptions!$B$21+Assumptions!$B$19))</f>
        <v>0</v>
      </c>
      <c r="I15" s="85" t="n">
        <f aca="false">IF(OR($Q15=0,8&lt;$Q15),0,$P15/12*(1+Assumptions!$B$21+Assumptions!$B$19))</f>
        <v>0</v>
      </c>
      <c r="J15" s="85" t="n">
        <f aca="false">IF(OR($Q15=0,9&lt;$Q15),0,$P15/12*(1+Assumptions!$B$21+Assumptions!$B$19))</f>
        <v>0</v>
      </c>
      <c r="K15" s="85" t="n">
        <f aca="false">IF(OR($Q15=0,10&lt;$Q15),0,$P15/12*(1+Assumptions!$B$21+Assumptions!$B$19))</f>
        <v>7625.20833333333</v>
      </c>
      <c r="L15" s="85" t="n">
        <f aca="false">IF(OR($Q15=0,11&lt;$Q15),0,$P15/12*(1+Assumptions!$B$21+Assumptions!$B$19))</f>
        <v>7625.20833333333</v>
      </c>
      <c r="M15" s="85" t="n">
        <f aca="false">IF(OR($Q15=0,12&lt;$Q15),0,$P15/12*(1+Assumptions!$B$21+Assumptions!$B$19))</f>
        <v>7625.20833333333</v>
      </c>
      <c r="N15" s="88" t="n">
        <f aca="false">SUM(B15:M15)</f>
        <v>22875.625</v>
      </c>
      <c r="P15" s="12" t="n">
        <v>85000</v>
      </c>
      <c r="Q15" s="107" t="n">
        <v>10</v>
      </c>
      <c r="R15" s="84" t="n">
        <v>1</v>
      </c>
      <c r="S15" s="84" t="n">
        <v>0.85</v>
      </c>
      <c r="T15" s="126" t="n">
        <f aca="false">Assumptions!$B$35</f>
        <v>94.9886413691999</v>
      </c>
      <c r="U15" s="14" t="s">
        <v>480</v>
      </c>
    </row>
    <row r="16" customFormat="false" ht="15" hidden="false" customHeight="true" outlineLevel="0" collapsed="false">
      <c r="A16" s="147" t="s">
        <v>481</v>
      </c>
      <c r="B16" s="85" t="n">
        <f aca="false">IF(OR($Q16=0,1&lt;$Q16),0,$P16/12*(1+Assumptions!$B$21+Assumptions!$B$19))</f>
        <v>0</v>
      </c>
      <c r="C16" s="85" t="n">
        <f aca="false">IF(OR($Q16=0,2&lt;$Q16),0,$P16/12*(1+Assumptions!$B$21+Assumptions!$B$19))</f>
        <v>0</v>
      </c>
      <c r="D16" s="85" t="n">
        <f aca="false">IF(OR($Q16=0,3&lt;$Q16),0,$P16/12*(1+Assumptions!$B$21+Assumptions!$B$19))</f>
        <v>0</v>
      </c>
      <c r="E16" s="85" t="n">
        <f aca="false">IF(OR($Q16=0,4&lt;$Q16),0,$P16/12*(1+Assumptions!$B$21+Assumptions!$B$19))</f>
        <v>0</v>
      </c>
      <c r="F16" s="85" t="n">
        <f aca="false">IF(OR($Q16=0,5&lt;$Q16),0,$P16/12*(1+Assumptions!$B$21+Assumptions!$B$19))</f>
        <v>0</v>
      </c>
      <c r="G16" s="85" t="n">
        <f aca="false">IF(OR($Q16=0,6&lt;$Q16),0,$P16/12*(1+Assumptions!$B$21+Assumptions!$B$19))</f>
        <v>0</v>
      </c>
      <c r="H16" s="85" t="n">
        <f aca="false">IF(OR($Q16=0,7&lt;$Q16),0,$P16/12*(1+Assumptions!$B$21+Assumptions!$B$19))</f>
        <v>0</v>
      </c>
      <c r="I16" s="85" t="n">
        <f aca="false">IF(OR($Q16=0,8&lt;$Q16),0,$P16/12*(1+Assumptions!$B$21+Assumptions!$B$19))</f>
        <v>0</v>
      </c>
      <c r="J16" s="85" t="n">
        <f aca="false">IF(OR($Q16=0,9&lt;$Q16),0,$P16/12*(1+Assumptions!$B$21+Assumptions!$B$19))</f>
        <v>0</v>
      </c>
      <c r="K16" s="85" t="n">
        <f aca="false">IF(OR($Q16=0,10&lt;$Q16),0,$P16/12*(1+Assumptions!$B$21+Assumptions!$B$19))</f>
        <v>0</v>
      </c>
      <c r="L16" s="85" t="n">
        <f aca="false">IF(OR($Q16=0,11&lt;$Q16),0,$P16/12*(1+Assumptions!$B$21+Assumptions!$B$19))</f>
        <v>0</v>
      </c>
      <c r="M16" s="85" t="n">
        <f aca="false">IF(OR($Q16=0,12&lt;$Q16),0,$P16/12*(1+Assumptions!$B$21+Assumptions!$B$19))</f>
        <v>0</v>
      </c>
      <c r="N16" s="88" t="n">
        <f aca="false">SUM(B16:M16)</f>
        <v>0</v>
      </c>
      <c r="P16" s="12" t="n">
        <v>85000</v>
      </c>
      <c r="Q16" s="107" t="n">
        <v>0</v>
      </c>
      <c r="R16" s="84" t="n">
        <v>1</v>
      </c>
      <c r="S16" s="84" t="n">
        <v>0.85</v>
      </c>
      <c r="T16" s="126" t="n">
        <f aca="false">Assumptions!$B$35</f>
        <v>94.9886413691999</v>
      </c>
      <c r="U16" s="14" t="s">
        <v>480</v>
      </c>
    </row>
    <row r="17" customFormat="false" ht="15" hidden="false" customHeight="true" outlineLevel="0" collapsed="false">
      <c r="A17" s="147" t="s">
        <v>482</v>
      </c>
      <c r="B17" s="85" t="n">
        <f aca="false">IF(OR($Q17=0,1&lt;$Q17),0,$P17/12*(1+Assumptions!$B$21+Assumptions!$B$19))</f>
        <v>0</v>
      </c>
      <c r="C17" s="85" t="n">
        <f aca="false">IF(OR($Q17=0,2&lt;$Q17),0,$P17/12*(1+Assumptions!$B$21+Assumptions!$B$19))</f>
        <v>0</v>
      </c>
      <c r="D17" s="85" t="n">
        <f aca="false">IF(OR($Q17=0,3&lt;$Q17),0,$P17/12*(1+Assumptions!$B$21+Assumptions!$B$19))</f>
        <v>0</v>
      </c>
      <c r="E17" s="85" t="n">
        <f aca="false">IF(OR($Q17=0,4&lt;$Q17),0,$P17/12*(1+Assumptions!$B$21+Assumptions!$B$19))</f>
        <v>0</v>
      </c>
      <c r="F17" s="85" t="n">
        <f aca="false">IF(OR($Q17=0,5&lt;$Q17),0,$P17/12*(1+Assumptions!$B$21+Assumptions!$B$19))</f>
        <v>0</v>
      </c>
      <c r="G17" s="85" t="n">
        <f aca="false">IF(OR($Q17=0,6&lt;$Q17),0,$P17/12*(1+Assumptions!$B$21+Assumptions!$B$19))</f>
        <v>0</v>
      </c>
      <c r="H17" s="85" t="n">
        <f aca="false">IF(OR($Q17=0,7&lt;$Q17),0,$P17/12*(1+Assumptions!$B$21+Assumptions!$B$19))</f>
        <v>0</v>
      </c>
      <c r="I17" s="85" t="n">
        <f aca="false">IF(OR($Q17=0,8&lt;$Q17),0,$P17/12*(1+Assumptions!$B$21+Assumptions!$B$19))</f>
        <v>0</v>
      </c>
      <c r="J17" s="85" t="n">
        <f aca="false">IF(OR($Q17=0,9&lt;$Q17),0,$P17/12*(1+Assumptions!$B$21+Assumptions!$B$19))</f>
        <v>0</v>
      </c>
      <c r="K17" s="85" t="n">
        <f aca="false">IF(OR($Q17=0,10&lt;$Q17),0,$P17/12*(1+Assumptions!$B$21+Assumptions!$B$19))</f>
        <v>0</v>
      </c>
      <c r="L17" s="85" t="n">
        <f aca="false">IF(OR($Q17=0,11&lt;$Q17),0,$P17/12*(1+Assumptions!$B$21+Assumptions!$B$19))</f>
        <v>0</v>
      </c>
      <c r="M17" s="85" t="n">
        <f aca="false">IF(OR($Q17=0,12&lt;$Q17),0,$P17/12*(1+Assumptions!$B$21+Assumptions!$B$19))</f>
        <v>0</v>
      </c>
      <c r="N17" s="88" t="n">
        <f aca="false">SUM(B17:M17)</f>
        <v>0</v>
      </c>
      <c r="P17" s="12" t="n">
        <v>125000</v>
      </c>
      <c r="Q17" s="107" t="n">
        <v>0</v>
      </c>
      <c r="R17" s="84" t="n">
        <v>1</v>
      </c>
      <c r="S17" s="84" t="n">
        <v>0.85</v>
      </c>
      <c r="T17" s="126" t="n">
        <f aca="false">Assumptions!$B$34</f>
        <v>151.11295604717</v>
      </c>
      <c r="U17" s="14" t="s">
        <v>480</v>
      </c>
    </row>
    <row r="18" customFormat="false" ht="15" hidden="false" customHeight="true" outlineLevel="0" collapsed="false">
      <c r="A18" s="23" t="s">
        <v>483</v>
      </c>
      <c r="B18" s="86" t="n">
        <f aca="false">SUM(B15:B17)</f>
        <v>0</v>
      </c>
      <c r="C18" s="86" t="n">
        <f aca="false">SUM(C15:C17)</f>
        <v>0</v>
      </c>
      <c r="D18" s="86" t="n">
        <f aca="false">SUM(D15:D17)</f>
        <v>0</v>
      </c>
      <c r="E18" s="86" t="n">
        <f aca="false">SUM(E15:E17)</f>
        <v>0</v>
      </c>
      <c r="F18" s="86" t="n">
        <f aca="false">SUM(F15:F17)</f>
        <v>0</v>
      </c>
      <c r="G18" s="86" t="n">
        <f aca="false">SUM(G15:G17)</f>
        <v>0</v>
      </c>
      <c r="H18" s="86" t="n">
        <f aca="false">SUM(H15:H17)</f>
        <v>0</v>
      </c>
      <c r="I18" s="86" t="n">
        <f aca="false">SUM(I15:I17)</f>
        <v>0</v>
      </c>
      <c r="J18" s="86" t="n">
        <f aca="false">SUM(J15:J17)</f>
        <v>0</v>
      </c>
      <c r="K18" s="86" t="n">
        <f aca="false">SUM(K15:K17)</f>
        <v>7625.20833333333</v>
      </c>
      <c r="L18" s="86" t="n">
        <f aca="false">SUM(L15:L17)</f>
        <v>7625.20833333333</v>
      </c>
      <c r="M18" s="86" t="n">
        <f aca="false">SUM(M15:M17)</f>
        <v>7625.20833333333</v>
      </c>
      <c r="N18" s="86" t="n">
        <f aca="false">SUM(N15:N17)</f>
        <v>22875.625</v>
      </c>
      <c r="P18" s="22"/>
      <c r="Q18" s="22"/>
      <c r="R18" s="22"/>
      <c r="S18" s="22"/>
      <c r="T18" s="22"/>
    </row>
    <row r="19" customFormat="false" ht="15" hidden="false" customHeight="true" outlineLevel="0" collapsed="false">
      <c r="A19" s="33" t="s">
        <v>484</v>
      </c>
      <c r="B19" s="34" t="n">
        <f aca="false">IF(OR($Q15=0,1&lt;$Q15),0,MAX(0,('Monthly Capacity'!B$13-20-80*'Monthly Capacity'!B$17))*$R15*$S15)+IF(OR($Q16=0,1&lt;$Q16),0,MAX(0,('Monthly Capacity'!B$13-20-80*'Monthly Capacity'!B$17))*$R16*$S16)+IF(OR($Q17=0,1&lt;$Q17),0,MAX(0,('Monthly Capacity'!B$13-20-80*'Monthly Capacity'!B$17))*$R17*$S17)</f>
        <v>0</v>
      </c>
      <c r="C19" s="34" t="n">
        <f aca="false">IF(OR($Q15=0,2&lt;$Q15),0,MAX(0,('Monthly Capacity'!C$13-20-80*'Monthly Capacity'!C$17))*$R15*$S15)+IF(OR($Q16=0,2&lt;$Q16),0,MAX(0,('Monthly Capacity'!C$13-20-80*'Monthly Capacity'!C$17))*$R16*$S16)+IF(OR($Q17=0,2&lt;$Q17),0,MAX(0,('Monthly Capacity'!C$13-20-80*'Monthly Capacity'!C$17))*$R17*$S17)</f>
        <v>0</v>
      </c>
      <c r="D19" s="34" t="n">
        <f aca="false">IF(OR($Q15=0,3&lt;$Q15),0,MAX(0,('Monthly Capacity'!D$13-20-80*'Monthly Capacity'!D$17))*$R15*$S15)+IF(OR($Q16=0,3&lt;$Q16),0,MAX(0,('Monthly Capacity'!D$13-20-80*'Monthly Capacity'!D$17))*$R16*$S16)+IF(OR($Q17=0,3&lt;$Q17),0,MAX(0,('Monthly Capacity'!D$13-20-80*'Monthly Capacity'!D$17))*$R17*$S17)</f>
        <v>0</v>
      </c>
      <c r="E19" s="34" t="n">
        <f aca="false">IF(OR($Q15=0,4&lt;$Q15),0,MAX(0,('Monthly Capacity'!E$13-20-80*'Monthly Capacity'!E$17))*$R15*$S15)+IF(OR($Q16=0,4&lt;$Q16),0,MAX(0,('Monthly Capacity'!E$13-20-80*'Monthly Capacity'!E$17))*$R16*$S16)+IF(OR($Q17=0,4&lt;$Q17),0,MAX(0,('Monthly Capacity'!E$13-20-80*'Monthly Capacity'!E$17))*$R17*$S17)</f>
        <v>0</v>
      </c>
      <c r="F19" s="34" t="n">
        <f aca="false">IF(OR($Q15=0,5&lt;$Q15),0,MAX(0,('Monthly Capacity'!F$13-20-80*'Monthly Capacity'!F$17))*$R15*$S15)+IF(OR($Q16=0,5&lt;$Q16),0,MAX(0,('Monthly Capacity'!F$13-20-80*'Monthly Capacity'!F$17))*$R16*$S16)+IF(OR($Q17=0,5&lt;$Q17),0,MAX(0,('Monthly Capacity'!F$13-20-80*'Monthly Capacity'!F$17))*$R17*$S17)</f>
        <v>0</v>
      </c>
      <c r="G19" s="34" t="n">
        <f aca="false">IF(OR($Q15=0,6&lt;$Q15),0,MAX(0,('Monthly Capacity'!G$13-20-80*'Monthly Capacity'!G$17))*$R15*$S15)+IF(OR($Q16=0,6&lt;$Q16),0,MAX(0,('Monthly Capacity'!G$13-20-80*'Monthly Capacity'!G$17))*$R16*$S16)+IF(OR($Q17=0,6&lt;$Q17),0,MAX(0,('Monthly Capacity'!G$13-20-80*'Monthly Capacity'!G$17))*$R17*$S17)</f>
        <v>0</v>
      </c>
      <c r="H19" s="34" t="n">
        <f aca="false">IF(OR($Q15=0,7&lt;$Q15),0,MAX(0,('Monthly Capacity'!H$13-20-80*'Monthly Capacity'!H$17))*$R15*$S15)+IF(OR($Q16=0,7&lt;$Q16),0,MAX(0,('Monthly Capacity'!H$13-20-80*'Monthly Capacity'!H$17))*$R16*$S16)+IF(OR($Q17=0,7&lt;$Q17),0,MAX(0,('Monthly Capacity'!H$13-20-80*'Monthly Capacity'!H$17))*$R17*$S17)</f>
        <v>0</v>
      </c>
      <c r="I19" s="34" t="n">
        <f aca="false">IF(OR($Q15=0,8&lt;$Q15),0,MAX(0,('Monthly Capacity'!I$13-20-80*'Monthly Capacity'!I$17))*$R15*$S15)+IF(OR($Q16=0,8&lt;$Q16),0,MAX(0,('Monthly Capacity'!I$13-20-80*'Monthly Capacity'!I$17))*$R16*$S16)+IF(OR($Q17=0,8&lt;$Q17),0,MAX(0,('Monthly Capacity'!I$13-20-80*'Monthly Capacity'!I$17))*$R17*$S17)</f>
        <v>0</v>
      </c>
      <c r="J19" s="34" t="n">
        <f aca="false">IF(OR($Q15=0,9&lt;$Q15),0,MAX(0,('Monthly Capacity'!J$13-20-80*'Monthly Capacity'!J$17))*$R15*$S15)+IF(OR($Q16=0,9&lt;$Q16),0,MAX(0,('Monthly Capacity'!J$13-20-80*'Monthly Capacity'!J$17))*$R16*$S16)+IF(OR($Q17=0,9&lt;$Q17),0,MAX(0,('Monthly Capacity'!J$13-20-80*'Monthly Capacity'!J$17))*$R17*$S17)</f>
        <v>0</v>
      </c>
      <c r="K19" s="34" t="n">
        <f aca="false">IF(OR($Q15=0,10&lt;$Q15),0,MAX(0,('Monthly Capacity'!K$13-20-80*'Monthly Capacity'!K$17))*$R15*$S15)+IF(OR($Q16=0,10&lt;$Q16),0,MAX(0,('Monthly Capacity'!K$13-20-80*'Monthly Capacity'!K$17))*$R16*$S16)+IF(OR($Q17=0,10&lt;$Q17),0,MAX(0,('Monthly Capacity'!K$13-20-80*'Monthly Capacity'!K$17))*$R17*$S17)</f>
        <v>126.933333333333</v>
      </c>
      <c r="L19" s="34" t="n">
        <f aca="false">IF(OR($Q15=0,11&lt;$Q15),0,MAX(0,('Monthly Capacity'!L$13-20-80*'Monthly Capacity'!L$17))*$R15*$S15)+IF(OR($Q16=0,11&lt;$Q16),0,MAX(0,('Monthly Capacity'!L$13-20-80*'Monthly Capacity'!L$17))*$R16*$S16)+IF(OR($Q17=0,11&lt;$Q17),0,MAX(0,('Monthly Capacity'!L$13-20-80*'Monthly Capacity'!L$17))*$R17*$S17)</f>
        <v>113.333333333333</v>
      </c>
      <c r="M19" s="34" t="n">
        <f aca="false">IF(OR($Q15=0,12&lt;$Q15),0,MAX(0,('Monthly Capacity'!M$13-20-80*'Monthly Capacity'!M$17))*$R15*$S15)+IF(OR($Q16=0,12&lt;$Q16),0,MAX(0,('Monthly Capacity'!M$13-20-80*'Monthly Capacity'!M$17))*$R16*$S16)+IF(OR($Q17=0,12&lt;$Q17),0,MAX(0,('Monthly Capacity'!M$13-20-80*'Monthly Capacity'!M$17))*$R17*$S17)</f>
        <v>120.133333333333</v>
      </c>
      <c r="N19" s="123" t="n">
        <f aca="false">SUM(B19:M19)</f>
        <v>360.4</v>
      </c>
    </row>
    <row r="20" customFormat="false" ht="15" hidden="false" customHeight="true" outlineLevel="0" collapsed="false">
      <c r="A20" s="33" t="s">
        <v>485</v>
      </c>
      <c r="B20" s="31" t="n">
        <f aca="false">IF(OR($Q15=0,1&lt;$Q15),0,MAX(0,('Monthly Capacity'!B$13-20-80*'Monthly Capacity'!B$17))*$R15*$S15*$T15)+IF(OR($Q16=0,1&lt;$Q16),0,MAX(0,('Monthly Capacity'!B$13-20-80*'Monthly Capacity'!B$17))*$R16*$S16*$T16)+IF(OR($Q17=0,1&lt;$Q17),0,MAX(0,('Monthly Capacity'!B$13-20-80*'Monthly Capacity'!B$17))*$R17*$S17*$T17)</f>
        <v>0</v>
      </c>
      <c r="C20" s="31" t="n">
        <f aca="false">IF(OR($Q15=0,2&lt;$Q15),0,MAX(0,('Monthly Capacity'!C$13-20-80*'Monthly Capacity'!C$17))*$R15*$S15*$T15)+IF(OR($Q16=0,2&lt;$Q16),0,MAX(0,('Monthly Capacity'!C$13-20-80*'Monthly Capacity'!C$17))*$R16*$S16*$T16)+IF(OR($Q17=0,2&lt;$Q17),0,MAX(0,('Monthly Capacity'!C$13-20-80*'Monthly Capacity'!C$17))*$R17*$S17*$T17)</f>
        <v>0</v>
      </c>
      <c r="D20" s="31" t="n">
        <f aca="false">IF(OR($Q15=0,3&lt;$Q15),0,MAX(0,('Monthly Capacity'!D$13-20-80*'Monthly Capacity'!D$17))*$R15*$S15*$T15)+IF(OR($Q16=0,3&lt;$Q16),0,MAX(0,('Monthly Capacity'!D$13-20-80*'Monthly Capacity'!D$17))*$R16*$S16*$T16)+IF(OR($Q17=0,3&lt;$Q17),0,MAX(0,('Monthly Capacity'!D$13-20-80*'Monthly Capacity'!D$17))*$R17*$S17*$T17)</f>
        <v>0</v>
      </c>
      <c r="E20" s="31" t="n">
        <f aca="false">IF(OR($Q15=0,4&lt;$Q15),0,MAX(0,('Monthly Capacity'!E$13-20-80*'Monthly Capacity'!E$17))*$R15*$S15*$T15)+IF(OR($Q16=0,4&lt;$Q16),0,MAX(0,('Monthly Capacity'!E$13-20-80*'Monthly Capacity'!E$17))*$R16*$S16*$T16)+IF(OR($Q17=0,4&lt;$Q17),0,MAX(0,('Monthly Capacity'!E$13-20-80*'Monthly Capacity'!E$17))*$R17*$S17*$T17)</f>
        <v>0</v>
      </c>
      <c r="F20" s="31" t="n">
        <f aca="false">IF(OR($Q15=0,5&lt;$Q15),0,MAX(0,('Monthly Capacity'!F$13-20-80*'Monthly Capacity'!F$17))*$R15*$S15*$T15)+IF(OR($Q16=0,5&lt;$Q16),0,MAX(0,('Monthly Capacity'!F$13-20-80*'Monthly Capacity'!F$17))*$R16*$S16*$T16)+IF(OR($Q17=0,5&lt;$Q17),0,MAX(0,('Monthly Capacity'!F$13-20-80*'Monthly Capacity'!F$17))*$R17*$S17*$T17)</f>
        <v>0</v>
      </c>
      <c r="G20" s="31" t="n">
        <f aca="false">IF(OR($Q15=0,6&lt;$Q15),0,MAX(0,('Monthly Capacity'!G$13-20-80*'Monthly Capacity'!G$17))*$R15*$S15*$T15)+IF(OR($Q16=0,6&lt;$Q16),0,MAX(0,('Monthly Capacity'!G$13-20-80*'Monthly Capacity'!G$17))*$R16*$S16*$T16)+IF(OR($Q17=0,6&lt;$Q17),0,MAX(0,('Monthly Capacity'!G$13-20-80*'Monthly Capacity'!G$17))*$R17*$S17*$T17)</f>
        <v>0</v>
      </c>
      <c r="H20" s="31" t="n">
        <f aca="false">IF(OR($Q15=0,7&lt;$Q15),0,MAX(0,('Monthly Capacity'!H$13-20-80*'Monthly Capacity'!H$17))*$R15*$S15*$T15)+IF(OR($Q16=0,7&lt;$Q16),0,MAX(0,('Monthly Capacity'!H$13-20-80*'Monthly Capacity'!H$17))*$R16*$S16*$T16)+IF(OR($Q17=0,7&lt;$Q17),0,MAX(0,('Monthly Capacity'!H$13-20-80*'Monthly Capacity'!H$17))*$R17*$S17*$T17)</f>
        <v>0</v>
      </c>
      <c r="I20" s="31" t="n">
        <f aca="false">IF(OR($Q15=0,8&lt;$Q15),0,MAX(0,('Monthly Capacity'!I$13-20-80*'Monthly Capacity'!I$17))*$R15*$S15*$T15)+IF(OR($Q16=0,8&lt;$Q16),0,MAX(0,('Monthly Capacity'!I$13-20-80*'Monthly Capacity'!I$17))*$R16*$S16*$T16)+IF(OR($Q17=0,8&lt;$Q17),0,MAX(0,('Monthly Capacity'!I$13-20-80*'Monthly Capacity'!I$17))*$R17*$S17*$T17)</f>
        <v>0</v>
      </c>
      <c r="J20" s="31" t="n">
        <f aca="false">IF(OR($Q15=0,9&lt;$Q15),0,MAX(0,('Monthly Capacity'!J$13-20-80*'Monthly Capacity'!J$17))*$R15*$S15*$T15)+IF(OR($Q16=0,9&lt;$Q16),0,MAX(0,('Monthly Capacity'!J$13-20-80*'Monthly Capacity'!J$17))*$R16*$S16*$T16)+IF(OR($Q17=0,9&lt;$Q17),0,MAX(0,('Monthly Capacity'!J$13-20-80*'Monthly Capacity'!J$17))*$R17*$S17*$T17)</f>
        <v>0</v>
      </c>
      <c r="K20" s="31" t="n">
        <f aca="false">IF(OR($Q15=0,10&lt;$Q15),0,MAX(0,('Monthly Capacity'!K$13-20-80*'Monthly Capacity'!K$17))*$R15*$S15*$T15)+IF(OR($Q16=0,10&lt;$Q16),0,MAX(0,('Monthly Capacity'!K$13-20-80*'Monthly Capacity'!K$17))*$R16*$S16*$T16)+IF(OR($Q17=0,10&lt;$Q17),0,MAX(0,('Monthly Capacity'!K$13-20-80*'Monthly Capacity'!K$17))*$R17*$S17*$T17)</f>
        <v>12057.2248777971</v>
      </c>
      <c r="L20" s="31" t="n">
        <f aca="false">IF(OR($Q15=0,11&lt;$Q15),0,MAX(0,('Monthly Capacity'!L$13-20-80*'Monthly Capacity'!L$17))*$R15*$S15*$T15)+IF(OR($Q16=0,11&lt;$Q16),0,MAX(0,('Monthly Capacity'!L$13-20-80*'Monthly Capacity'!L$17))*$R16*$S16*$T16)+IF(OR($Q17=0,11&lt;$Q17),0,MAX(0,('Monthly Capacity'!L$13-20-80*'Monthly Capacity'!L$17))*$R17*$S17*$T17)</f>
        <v>10765.379355176</v>
      </c>
      <c r="M20" s="31" t="n">
        <f aca="false">IF(OR($Q15=0,12&lt;$Q15),0,MAX(0,('Monthly Capacity'!M$13-20-80*'Monthly Capacity'!M$17))*$R15*$S15*$T15)+IF(OR($Q16=0,12&lt;$Q16),0,MAX(0,('Monthly Capacity'!M$13-20-80*'Monthly Capacity'!M$17))*$R16*$S16*$T16)+IF(OR($Q17=0,12&lt;$Q17),0,MAX(0,('Monthly Capacity'!M$13-20-80*'Monthly Capacity'!M$17))*$R17*$S17*$T17)</f>
        <v>11411.3021164865</v>
      </c>
      <c r="N20" s="88" t="n">
        <f aca="false">SUM(B20:M20)</f>
        <v>34233.9063494596</v>
      </c>
    </row>
    <row r="22" customFormat="false" ht="15" hidden="false" customHeight="true" outlineLevel="0" collapsed="false">
      <c r="A22" s="28" t="s">
        <v>486</v>
      </c>
      <c r="B22" s="27"/>
      <c r="C22" s="27"/>
      <c r="D22" s="27"/>
      <c r="E22" s="27"/>
      <c r="F22" s="27"/>
      <c r="G22" s="27"/>
      <c r="H22" s="27"/>
      <c r="I22" s="27"/>
      <c r="J22" s="27"/>
      <c r="K22" s="27"/>
      <c r="L22" s="27"/>
      <c r="M22" s="27"/>
      <c r="N22" s="27"/>
    </row>
    <row r="23" customFormat="false" ht="15" hidden="false" customHeight="true" outlineLevel="0" collapsed="false">
      <c r="A23" s="33" t="s">
        <v>487</v>
      </c>
      <c r="B23" s="31" t="n">
        <f aca="false">B11+B20</f>
        <v>0</v>
      </c>
      <c r="C23" s="31" t="n">
        <f aca="false">C11+C20</f>
        <v>0</v>
      </c>
      <c r="D23" s="31" t="n">
        <f aca="false">D11+D20</f>
        <v>0</v>
      </c>
      <c r="E23" s="31" t="n">
        <f aca="false">E11+E20</f>
        <v>0</v>
      </c>
      <c r="F23" s="31" t="n">
        <f aca="false">F11+F20</f>
        <v>0</v>
      </c>
      <c r="G23" s="31" t="n">
        <f aca="false">G11+G20</f>
        <v>0</v>
      </c>
      <c r="H23" s="31" t="n">
        <f aca="false">H11+H20</f>
        <v>0</v>
      </c>
      <c r="I23" s="31" t="n">
        <f aca="false">I11+I20</f>
        <v>3000</v>
      </c>
      <c r="J23" s="31" t="n">
        <f aca="false">J11+J20</f>
        <v>6000</v>
      </c>
      <c r="K23" s="31" t="n">
        <f aca="false">K11+K20</f>
        <v>21057.2248777971</v>
      </c>
      <c r="L23" s="31" t="n">
        <f aca="false">L11+L20</f>
        <v>22765.379355176</v>
      </c>
      <c r="M23" s="31" t="n">
        <f aca="false">M11+M20</f>
        <v>26411.3021164865</v>
      </c>
      <c r="N23" s="31" t="n">
        <f aca="false">N11+N20</f>
        <v>79233.9063494596</v>
      </c>
    </row>
    <row r="24" customFormat="false" ht="15" hidden="false" customHeight="true" outlineLevel="0" collapsed="false">
      <c r="A24" s="25" t="s">
        <v>488</v>
      </c>
      <c r="B24" s="85" t="n">
        <f aca="false">B18</f>
        <v>0</v>
      </c>
      <c r="C24" s="85" t="n">
        <f aca="false">C18</f>
        <v>0</v>
      </c>
      <c r="D24" s="85" t="n">
        <f aca="false">D18</f>
        <v>0</v>
      </c>
      <c r="E24" s="85" t="n">
        <f aca="false">E18</f>
        <v>0</v>
      </c>
      <c r="F24" s="85" t="n">
        <f aca="false">F18</f>
        <v>0</v>
      </c>
      <c r="G24" s="85" t="n">
        <f aca="false">G18</f>
        <v>0</v>
      </c>
      <c r="H24" s="85" t="n">
        <f aca="false">H18</f>
        <v>0</v>
      </c>
      <c r="I24" s="85" t="n">
        <f aca="false">I18</f>
        <v>0</v>
      </c>
      <c r="J24" s="85" t="n">
        <f aca="false">J18</f>
        <v>0</v>
      </c>
      <c r="K24" s="85" t="n">
        <f aca="false">K18</f>
        <v>7625.20833333333</v>
      </c>
      <c r="L24" s="85" t="n">
        <f aca="false">L18</f>
        <v>7625.20833333333</v>
      </c>
      <c r="M24" s="85" t="n">
        <f aca="false">M18</f>
        <v>7625.20833333333</v>
      </c>
      <c r="N24" s="85" t="n">
        <f aca="false">N18</f>
        <v>22875.625</v>
      </c>
    </row>
    <row r="25" customFormat="false" ht="15" hidden="false" customHeight="true" outlineLevel="0" collapsed="false">
      <c r="A25" s="148" t="s">
        <v>489</v>
      </c>
      <c r="B25" s="149" t="n">
        <f aca="false">B23-B24</f>
        <v>0</v>
      </c>
      <c r="C25" s="149" t="n">
        <f aca="false">C23-C24</f>
        <v>0</v>
      </c>
      <c r="D25" s="149" t="n">
        <f aca="false">D23-D24</f>
        <v>0</v>
      </c>
      <c r="E25" s="149" t="n">
        <f aca="false">E23-E24</f>
        <v>0</v>
      </c>
      <c r="F25" s="149" t="n">
        <f aca="false">F23-F24</f>
        <v>0</v>
      </c>
      <c r="G25" s="149" t="n">
        <f aca="false">G23-G24</f>
        <v>0</v>
      </c>
      <c r="H25" s="149" t="n">
        <f aca="false">H23-H24</f>
        <v>0</v>
      </c>
      <c r="I25" s="149" t="n">
        <f aca="false">I23-I24</f>
        <v>3000</v>
      </c>
      <c r="J25" s="149" t="n">
        <f aca="false">J23-J24</f>
        <v>6000</v>
      </c>
      <c r="K25" s="149" t="n">
        <f aca="false">K23-K24</f>
        <v>13432.0165444638</v>
      </c>
      <c r="L25" s="149" t="n">
        <f aca="false">L23-L24</f>
        <v>15140.1710218427</v>
      </c>
      <c r="M25" s="149" t="n">
        <f aca="false">M23-M24</f>
        <v>18786.0937831532</v>
      </c>
      <c r="N25" s="149" t="n">
        <f aca="false">N23-N24</f>
        <v>56358.2813494596</v>
      </c>
    </row>
    <row r="27" customFormat="false" ht="25.5" hidden="false" customHeight="true" outlineLevel="0" collapsed="false">
      <c r="A27" s="118" t="s">
        <v>490</v>
      </c>
      <c r="B27" s="118"/>
      <c r="C27" s="118"/>
      <c r="D27" s="118"/>
      <c r="E27" s="118"/>
      <c r="F27" s="118"/>
      <c r="G27" s="118"/>
      <c r="H27" s="118"/>
      <c r="I27" s="118"/>
      <c r="J27" s="118"/>
      <c r="K27" s="118"/>
      <c r="L27" s="118"/>
      <c r="M27" s="118"/>
      <c r="N27" s="118"/>
    </row>
    <row r="28" customFormat="false" ht="25.5" hidden="false" customHeight="true" outlineLevel="0" collapsed="false">
      <c r="A28" s="118" t="s">
        <v>491</v>
      </c>
      <c r="B28" s="118"/>
      <c r="C28" s="118"/>
      <c r="D28" s="118"/>
      <c r="E28" s="118"/>
      <c r="F28" s="118"/>
      <c r="G28" s="118"/>
      <c r="H28" s="118"/>
      <c r="I28" s="118"/>
      <c r="J28" s="118"/>
      <c r="K28" s="118"/>
      <c r="L28" s="118"/>
      <c r="M28" s="118"/>
      <c r="N28" s="118"/>
    </row>
    <row r="29" customFormat="false" ht="25.5" hidden="false" customHeight="true" outlineLevel="0" collapsed="false">
      <c r="A29" s="118" t="s">
        <v>492</v>
      </c>
      <c r="B29" s="118"/>
      <c r="C29" s="118"/>
      <c r="D29" s="118"/>
      <c r="E29" s="118"/>
      <c r="F29" s="118"/>
      <c r="G29" s="118"/>
      <c r="H29" s="118"/>
      <c r="I29" s="118"/>
      <c r="J29" s="118"/>
      <c r="K29" s="118"/>
      <c r="L29" s="118"/>
      <c r="M29" s="118"/>
      <c r="N29" s="118"/>
    </row>
    <row r="30" customFormat="false" ht="25.5" hidden="false" customHeight="true" outlineLevel="0" collapsed="false">
      <c r="A30" s="118" t="s">
        <v>493</v>
      </c>
      <c r="B30" s="118"/>
      <c r="C30" s="118"/>
      <c r="D30" s="118"/>
      <c r="E30" s="118"/>
      <c r="F30" s="118"/>
      <c r="G30" s="118"/>
      <c r="H30" s="118"/>
      <c r="I30" s="118"/>
      <c r="J30" s="118"/>
      <c r="K30" s="118"/>
      <c r="L30" s="118"/>
      <c r="M30" s="118"/>
      <c r="N30" s="118"/>
    </row>
  </sheetData>
  <mergeCells count="4">
    <mergeCell ref="A27:N27"/>
    <mergeCell ref="A28:N28"/>
    <mergeCell ref="A29:N29"/>
    <mergeCell ref="A30:N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5859375" defaultRowHeight="14.25" zeroHeight="false" outlineLevelRow="0" outlineLevelCol="0"/>
  <cols>
    <col collapsed="false" customWidth="true" hidden="false" outlineLevel="0" max="1" min="1" style="1" width="34"/>
    <col collapsed="false" customWidth="true" hidden="false" outlineLevel="0" max="13" min="2" style="1" width="11"/>
    <col collapsed="false" customWidth="true" hidden="false" outlineLevel="0" max="14" min="14" style="1" width="13"/>
  </cols>
  <sheetData>
    <row r="1" customFormat="false" ht="17.25" hidden="false" customHeight="true" outlineLevel="0" collapsed="false">
      <c r="A1" s="2" t="s">
        <v>0</v>
      </c>
    </row>
    <row r="2" customFormat="false" ht="15" hidden="false" customHeight="true" outlineLevel="0" collapsed="false">
      <c r="A2" s="3" t="s">
        <v>494</v>
      </c>
    </row>
    <row r="3" customFormat="false" ht="14.25" hidden="false" customHeight="true" outlineLevel="0" collapsed="false">
      <c r="A3" s="150" t="s">
        <v>495</v>
      </c>
    </row>
    <row r="4" customFormat="false" ht="14.25" hidden="false" customHeight="true" outlineLevel="0" collapsed="false">
      <c r="A4" s="4" t="s">
        <v>496</v>
      </c>
    </row>
    <row r="6" customFormat="false" ht="14.25" hidden="false" customHeight="true" outlineLevel="0" collapsed="false">
      <c r="A6" s="45"/>
      <c r="B6" s="6" t="s">
        <v>356</v>
      </c>
      <c r="C6" s="6" t="s">
        <v>357</v>
      </c>
      <c r="D6" s="6" t="s">
        <v>358</v>
      </c>
      <c r="E6" s="6" t="s">
        <v>359</v>
      </c>
      <c r="F6" s="6" t="s">
        <v>360</v>
      </c>
      <c r="G6" s="6" t="s">
        <v>361</v>
      </c>
      <c r="H6" s="6" t="s">
        <v>362</v>
      </c>
      <c r="I6" s="6" t="s">
        <v>363</v>
      </c>
      <c r="J6" s="6" t="s">
        <v>364</v>
      </c>
      <c r="K6" s="6" t="s">
        <v>365</v>
      </c>
      <c r="L6" s="6" t="s">
        <v>366</v>
      </c>
      <c r="M6" s="6" t="s">
        <v>367</v>
      </c>
      <c r="N6" s="6" t="s">
        <v>463</v>
      </c>
    </row>
    <row r="7" customFormat="false" ht="14.25" hidden="false" customHeight="true" outlineLevel="0" collapsed="false">
      <c r="A7" s="44" t="s">
        <v>497</v>
      </c>
      <c r="B7" s="45"/>
      <c r="C7" s="45"/>
      <c r="D7" s="45"/>
      <c r="E7" s="45"/>
      <c r="F7" s="45"/>
      <c r="G7" s="45"/>
      <c r="H7" s="45"/>
      <c r="I7" s="45"/>
      <c r="J7" s="45"/>
      <c r="K7" s="45"/>
      <c r="L7" s="45"/>
      <c r="M7" s="45"/>
      <c r="N7" s="45"/>
    </row>
    <row r="8" customFormat="false" ht="14.25" hidden="false" customHeight="true" outlineLevel="0" collapsed="false">
      <c r="A8" s="46" t="s">
        <v>498</v>
      </c>
      <c r="B8" s="53" t="n">
        <v>0</v>
      </c>
      <c r="C8" s="53" t="n">
        <v>0</v>
      </c>
      <c r="D8" s="53" t="n">
        <v>0</v>
      </c>
      <c r="E8" s="53" t="n">
        <v>0</v>
      </c>
      <c r="F8" s="53" t="n">
        <v>0</v>
      </c>
      <c r="G8" s="53" t="n">
        <v>0</v>
      </c>
      <c r="H8" s="53" t="n">
        <v>0</v>
      </c>
      <c r="I8" s="53" t="n">
        <v>0</v>
      </c>
      <c r="J8" s="53" t="n">
        <v>0</v>
      </c>
      <c r="K8" s="53" t="n">
        <v>0</v>
      </c>
      <c r="L8" s="53" t="n">
        <v>0</v>
      </c>
      <c r="M8" s="53" t="n">
        <v>0</v>
      </c>
      <c r="N8" s="151" t="n">
        <f aca="false">SUM(B8:M8)</f>
        <v>0</v>
      </c>
      <c r="P8" s="152" t="s">
        <v>499</v>
      </c>
    </row>
    <row r="9" customFormat="false" ht="14.25" hidden="false" customHeight="true" outlineLevel="0" collapsed="false">
      <c r="A9" s="46" t="s">
        <v>500</v>
      </c>
      <c r="B9" s="153" t="n">
        <f aca="false">'Monthly Capacity'!B$37+'Growth &amp; Hiring'!B$23</f>
        <v>96349.1821919444</v>
      </c>
      <c r="C9" s="153" t="n">
        <f aca="false">'Monthly Capacity'!C$37+'Growth &amp; Hiring'!C$23</f>
        <v>91069.7595312789</v>
      </c>
      <c r="D9" s="153" t="n">
        <f aca="false">'Monthly Capacity'!D$37+'Growth &amp; Hiring'!D$23</f>
        <v>101628.60485261</v>
      </c>
      <c r="E9" s="153" t="n">
        <f aca="false">'Monthly Capacity'!E$37+'Growth &amp; Hiring'!E$23</f>
        <v>101628.60485261</v>
      </c>
      <c r="F9" s="153" t="n">
        <f aca="false">'Monthly Capacity'!F$37+'Growth &amp; Hiring'!F$23</f>
        <v>91069.7595312789</v>
      </c>
      <c r="G9" s="153" t="n">
        <f aca="false">'Monthly Capacity'!G$37+'Growth &amp; Hiring'!G$23</f>
        <v>101628.60485261</v>
      </c>
      <c r="H9" s="153" t="n">
        <f aca="false">'Monthly Capacity'!H$37+'Growth &amp; Hiring'!H$23</f>
        <v>101628.60485261</v>
      </c>
      <c r="I9" s="153" t="n">
        <f aca="false">'Monthly Capacity'!I$37+'Growth &amp; Hiring'!I$23</f>
        <v>99349.1821919444</v>
      </c>
      <c r="J9" s="153" t="n">
        <f aca="false">'Monthly Capacity'!J$37+'Growth &amp; Hiring'!J$23</f>
        <v>102349.182191944</v>
      </c>
      <c r="K9" s="153" t="n">
        <f aca="false">'Monthly Capacity'!K$37+'Growth &amp; Hiring'!K$23</f>
        <v>122685.829730407</v>
      </c>
      <c r="L9" s="153" t="n">
        <f aca="false">'Monthly Capacity'!L$37+'Growth &amp; Hiring'!L$23</f>
        <v>113835.138886455</v>
      </c>
      <c r="M9" s="153" t="n">
        <f aca="false">'Monthly Capacity'!M$37+'Growth &amp; Hiring'!M$23</f>
        <v>122760.484308431</v>
      </c>
      <c r="N9" s="151" t="n">
        <f aca="false">SUM(B9:M9)</f>
        <v>1245982.93797412</v>
      </c>
      <c r="P9" s="152" t="s">
        <v>501</v>
      </c>
    </row>
    <row r="10" customFormat="false" ht="14.25" hidden="false" customHeight="true" outlineLevel="0" collapsed="false">
      <c r="A10" s="154" t="s">
        <v>502</v>
      </c>
      <c r="B10" s="155" t="n">
        <f aca="false">B8+B9</f>
        <v>96349.1821919444</v>
      </c>
      <c r="C10" s="155" t="n">
        <f aca="false">C8+C9</f>
        <v>91069.7595312789</v>
      </c>
      <c r="D10" s="155" t="n">
        <f aca="false">D8+D9</f>
        <v>101628.60485261</v>
      </c>
      <c r="E10" s="155" t="n">
        <f aca="false">E8+E9</f>
        <v>101628.60485261</v>
      </c>
      <c r="F10" s="155" t="n">
        <f aca="false">F8+F9</f>
        <v>91069.7595312789</v>
      </c>
      <c r="G10" s="155" t="n">
        <f aca="false">G8+G9</f>
        <v>101628.60485261</v>
      </c>
      <c r="H10" s="155" t="n">
        <f aca="false">H8+H9</f>
        <v>101628.60485261</v>
      </c>
      <c r="I10" s="155" t="n">
        <f aca="false">I8+I9</f>
        <v>99349.1821919444</v>
      </c>
      <c r="J10" s="155" t="n">
        <f aca="false">J8+J9</f>
        <v>102349.182191944</v>
      </c>
      <c r="K10" s="155" t="n">
        <f aca="false">K8+K9</f>
        <v>122685.829730407</v>
      </c>
      <c r="L10" s="155" t="n">
        <f aca="false">L8+L9</f>
        <v>113835.138886455</v>
      </c>
      <c r="M10" s="155" t="n">
        <f aca="false">M8+M9</f>
        <v>122760.484308431</v>
      </c>
      <c r="N10" s="155" t="n">
        <f aca="false">N8+N9</f>
        <v>1245982.93797412</v>
      </c>
    </row>
    <row r="11" customFormat="false" ht="14.25" hidden="false" customHeight="true" outlineLevel="0" collapsed="false">
      <c r="A11" s="44" t="s">
        <v>503</v>
      </c>
      <c r="B11" s="45"/>
      <c r="C11" s="45"/>
      <c r="D11" s="45"/>
      <c r="E11" s="45"/>
      <c r="F11" s="45"/>
      <c r="G11" s="45"/>
      <c r="H11" s="45"/>
      <c r="I11" s="45"/>
      <c r="J11" s="45"/>
      <c r="K11" s="45"/>
      <c r="L11" s="45"/>
      <c r="M11" s="45"/>
      <c r="N11" s="45"/>
    </row>
    <row r="12" customFormat="false" ht="14.25" hidden="false" customHeight="true" outlineLevel="0" collapsed="false">
      <c r="A12" s="46" t="s">
        <v>504</v>
      </c>
      <c r="B12" s="156" t="n">
        <f aca="false">'Staff P&amp;L'!$U$10</f>
        <v>4200</v>
      </c>
      <c r="C12" s="156" t="n">
        <f aca="false">'Staff P&amp;L'!$U$10</f>
        <v>4200</v>
      </c>
      <c r="D12" s="156" t="n">
        <f aca="false">'Staff P&amp;L'!$U$10</f>
        <v>4200</v>
      </c>
      <c r="E12" s="156" t="n">
        <f aca="false">'Staff P&amp;L'!$U$10</f>
        <v>4200</v>
      </c>
      <c r="F12" s="156" t="n">
        <f aca="false">'Staff P&amp;L'!$U$10</f>
        <v>4200</v>
      </c>
      <c r="G12" s="156" t="n">
        <f aca="false">'Staff P&amp;L'!$U$10</f>
        <v>4200</v>
      </c>
      <c r="H12" s="156" t="n">
        <f aca="false">'Staff P&amp;L'!$U$10</f>
        <v>4200</v>
      </c>
      <c r="I12" s="156" t="n">
        <f aca="false">'Staff P&amp;L'!$U$10</f>
        <v>4200</v>
      </c>
      <c r="J12" s="156" t="n">
        <f aca="false">'Staff P&amp;L'!$U$10</f>
        <v>4200</v>
      </c>
      <c r="K12" s="156" t="n">
        <f aca="false">'Staff P&amp;L'!$U$10</f>
        <v>4200</v>
      </c>
      <c r="L12" s="156" t="n">
        <f aca="false">'Staff P&amp;L'!$U$10</f>
        <v>4200</v>
      </c>
      <c r="M12" s="156" t="n">
        <f aca="false">'Staff P&amp;L'!$U$10</f>
        <v>4200</v>
      </c>
      <c r="N12" s="151" t="n">
        <f aca="false">SUM(B12:M12)</f>
        <v>50400</v>
      </c>
      <c r="P12" s="152" t="s">
        <v>505</v>
      </c>
    </row>
    <row r="13" customFormat="false" ht="14.25" hidden="false" customHeight="true" outlineLevel="0" collapsed="false">
      <c r="A13" s="46" t="s">
        <v>506</v>
      </c>
      <c r="B13" s="53" t="n">
        <v>28.48</v>
      </c>
      <c r="C13" s="53" t="n">
        <v>28.48</v>
      </c>
      <c r="D13" s="53" t="n">
        <v>28.48</v>
      </c>
      <c r="E13" s="53" t="n">
        <v>28.48</v>
      </c>
      <c r="F13" s="53" t="n">
        <v>28.48</v>
      </c>
      <c r="G13" s="53" t="n">
        <v>28.48</v>
      </c>
      <c r="H13" s="53" t="n">
        <v>28.48</v>
      </c>
      <c r="I13" s="53" t="n">
        <v>28.48</v>
      </c>
      <c r="J13" s="53" t="n">
        <v>28.48</v>
      </c>
      <c r="K13" s="53" t="n">
        <v>28.48</v>
      </c>
      <c r="L13" s="53" t="n">
        <v>28.48</v>
      </c>
      <c r="M13" s="53" t="n">
        <v>28.48</v>
      </c>
      <c r="N13" s="151" t="n">
        <f aca="false">SUM(B13:M13)</f>
        <v>341.76</v>
      </c>
      <c r="P13" s="152" t="s">
        <v>507</v>
      </c>
    </row>
    <row r="14" customFormat="false" ht="14.25" hidden="false" customHeight="true" outlineLevel="0" collapsed="false">
      <c r="A14" s="157" t="s">
        <v>508</v>
      </c>
      <c r="B14" s="46"/>
      <c r="C14" s="46"/>
      <c r="D14" s="46"/>
      <c r="E14" s="46"/>
      <c r="F14" s="46"/>
      <c r="G14" s="46"/>
      <c r="H14" s="46"/>
      <c r="I14" s="46"/>
      <c r="J14" s="46"/>
      <c r="K14" s="46"/>
      <c r="L14" s="46"/>
      <c r="M14" s="46"/>
      <c r="N14" s="46"/>
    </row>
    <row r="15" customFormat="false" ht="14.25" hidden="false" customHeight="true" outlineLevel="0" collapsed="false">
      <c r="A15" s="46" t="s">
        <v>509</v>
      </c>
      <c r="B15" s="158" t="n">
        <v>0</v>
      </c>
      <c r="C15" s="158" t="n">
        <v>0</v>
      </c>
      <c r="D15" s="159" t="n">
        <f aca="false">'Staff P&amp;L'!$D$25</f>
        <v>0</v>
      </c>
      <c r="E15" s="158" t="n">
        <v>0</v>
      </c>
      <c r="F15" s="158" t="n">
        <v>0</v>
      </c>
      <c r="G15" s="159" t="n">
        <f aca="false">'Staff P&amp;L'!$E$25</f>
        <v>0</v>
      </c>
      <c r="H15" s="158" t="n">
        <v>0</v>
      </c>
      <c r="I15" s="158" t="n">
        <v>0</v>
      </c>
      <c r="J15" s="159" t="n">
        <f aca="false">'Staff P&amp;L'!$F$25</f>
        <v>8852.8</v>
      </c>
      <c r="K15" s="158" t="n">
        <v>0</v>
      </c>
      <c r="L15" s="158" t="n">
        <v>0</v>
      </c>
      <c r="M15" s="159" t="n">
        <f aca="false">'Staff P&amp;L'!$G$25</f>
        <v>8852.8</v>
      </c>
      <c r="N15" s="151" t="n">
        <f aca="false">SUM(B15:M15)</f>
        <v>17705.6</v>
      </c>
      <c r="P15" s="152" t="s">
        <v>510</v>
      </c>
    </row>
    <row r="16" customFormat="false" ht="14.25" hidden="false" customHeight="true" outlineLevel="0" collapsed="false">
      <c r="A16" s="46" t="s">
        <v>511</v>
      </c>
      <c r="B16" s="53" t="n">
        <v>0</v>
      </c>
      <c r="C16" s="53" t="n">
        <v>0</v>
      </c>
      <c r="D16" s="53" t="n">
        <v>0</v>
      </c>
      <c r="E16" s="53" t="n">
        <v>0</v>
      </c>
      <c r="F16" s="53" t="n">
        <v>0</v>
      </c>
      <c r="G16" s="53" t="n">
        <v>0</v>
      </c>
      <c r="H16" s="53" t="n">
        <v>0</v>
      </c>
      <c r="I16" s="53" t="n">
        <v>0</v>
      </c>
      <c r="J16" s="53" t="n">
        <v>0</v>
      </c>
      <c r="K16" s="53" t="n">
        <v>0</v>
      </c>
      <c r="L16" s="53" t="n">
        <v>0</v>
      </c>
      <c r="M16" s="53" t="n">
        <v>0</v>
      </c>
      <c r="N16" s="151" t="n">
        <f aca="false">SUM(B16:M16)</f>
        <v>0</v>
      </c>
      <c r="P16" s="152" t="s">
        <v>512</v>
      </c>
    </row>
    <row r="17" customFormat="false" ht="14.25" hidden="false" customHeight="true" outlineLevel="0" collapsed="false">
      <c r="A17" s="46" t="s">
        <v>513</v>
      </c>
      <c r="B17" s="153" t="n">
        <f aca="false">'Staff P&amp;L'!$E$6/12*'Staff P&amp;L'!$T$6+'Staff P&amp;L'!$E$7/12*'Staff P&amp;L'!$T$7+'Monthly Capacity'!B$40*'Staff P&amp;L'!$T$8+'Monthly Capacity'!B$41*'Staff P&amp;L'!$T$9+'Staff P&amp;L'!$E$11/12*'Staff P&amp;L'!$T$11+'Growth &amp; Hiring'!B$24</f>
        <v>40954.1666666667</v>
      </c>
      <c r="C17" s="153" t="n">
        <f aca="false">'Staff P&amp;L'!$E$6/12*'Staff P&amp;L'!$T$6+'Staff P&amp;L'!$E$7/12*'Staff P&amp;L'!$T$7+'Monthly Capacity'!C$40*'Staff P&amp;L'!$T$8+'Monthly Capacity'!C$41*'Staff P&amp;L'!$T$9+'Staff P&amp;L'!$E$11/12*'Staff P&amp;L'!$T$11+'Growth &amp; Hiring'!C$24</f>
        <v>39354.1666666667</v>
      </c>
      <c r="D17" s="153" t="n">
        <f aca="false">'Staff P&amp;L'!$E$6/12*'Staff P&amp;L'!$T$6+'Staff P&amp;L'!$E$7/12*'Staff P&amp;L'!$T$7+'Monthly Capacity'!D$40*'Staff P&amp;L'!$T$8+'Monthly Capacity'!D$41*'Staff P&amp;L'!$T$9+'Staff P&amp;L'!$E$11/12*'Staff P&amp;L'!$T$11+'Growth &amp; Hiring'!D$24</f>
        <v>40954.1666666667</v>
      </c>
      <c r="E17" s="153" t="n">
        <f aca="false">'Staff P&amp;L'!$E$6/12*'Staff P&amp;L'!$T$6+'Staff P&amp;L'!$E$7/12*'Staff P&amp;L'!$T$7+'Monthly Capacity'!E$40*'Staff P&amp;L'!$T$8+'Monthly Capacity'!E$41*'Staff P&amp;L'!$T$9+'Staff P&amp;L'!$E$11/12*'Staff P&amp;L'!$T$11+'Growth &amp; Hiring'!E$24</f>
        <v>40954.1666666667</v>
      </c>
      <c r="F17" s="153" t="n">
        <f aca="false">'Staff P&amp;L'!$E$6/12*'Staff P&amp;L'!$T$6+'Staff P&amp;L'!$E$7/12*'Staff P&amp;L'!$T$7+'Monthly Capacity'!F$40*'Staff P&amp;L'!$T$8+'Monthly Capacity'!F$41*'Staff P&amp;L'!$T$9+'Staff P&amp;L'!$E$11/12*'Staff P&amp;L'!$T$11+'Growth &amp; Hiring'!F$24</f>
        <v>40154.1666666667</v>
      </c>
      <c r="G17" s="153" t="n">
        <f aca="false">'Staff P&amp;L'!$E$6/12*'Staff P&amp;L'!$T$6+'Staff P&amp;L'!$E$7/12*'Staff P&amp;L'!$T$7+'Monthly Capacity'!G$40*'Staff P&amp;L'!$T$8+'Monthly Capacity'!G$41*'Staff P&amp;L'!$T$9+'Staff P&amp;L'!$E$11/12*'Staff P&amp;L'!$T$11+'Growth &amp; Hiring'!G$24</f>
        <v>40954.1666666667</v>
      </c>
      <c r="H17" s="153" t="n">
        <f aca="false">'Staff P&amp;L'!$E$6/12*'Staff P&amp;L'!$T$6+'Staff P&amp;L'!$E$7/12*'Staff P&amp;L'!$T$7+'Monthly Capacity'!H$40*'Staff P&amp;L'!$T$8+'Monthly Capacity'!H$41*'Staff P&amp;L'!$T$9+'Staff P&amp;L'!$E$11/12*'Staff P&amp;L'!$T$11+'Growth &amp; Hiring'!H$24</f>
        <v>41754.1666666667</v>
      </c>
      <c r="I17" s="153" t="n">
        <f aca="false">'Staff P&amp;L'!$E$6/12*'Staff P&amp;L'!$T$6+'Staff P&amp;L'!$E$7/12*'Staff P&amp;L'!$T$7+'Monthly Capacity'!I$40*'Staff P&amp;L'!$T$8+'Monthly Capacity'!I$41*'Staff P&amp;L'!$T$9+'Staff P&amp;L'!$E$11/12*'Staff P&amp;L'!$T$11+'Growth &amp; Hiring'!I$24</f>
        <v>40154.1666666667</v>
      </c>
      <c r="J17" s="153" t="n">
        <f aca="false">'Staff P&amp;L'!$E$6/12*'Staff P&amp;L'!$T$6+'Staff P&amp;L'!$E$7/12*'Staff P&amp;L'!$T$7+'Monthly Capacity'!J$40*'Staff P&amp;L'!$T$8+'Monthly Capacity'!J$41*'Staff P&amp;L'!$T$9+'Staff P&amp;L'!$E$11/12*'Staff P&amp;L'!$T$11+'Growth &amp; Hiring'!J$24</f>
        <v>40954.1666666667</v>
      </c>
      <c r="K17" s="153" t="n">
        <f aca="false">'Staff P&amp;L'!$E$6/12*'Staff P&amp;L'!$T$6+'Staff P&amp;L'!$E$7/12*'Staff P&amp;L'!$T$7+'Monthly Capacity'!K$40*'Staff P&amp;L'!$T$8+'Monthly Capacity'!K$41*'Staff P&amp;L'!$T$9+'Staff P&amp;L'!$E$11/12*'Staff P&amp;L'!$T$11+'Growth &amp; Hiring'!K$24</f>
        <v>48579.375</v>
      </c>
      <c r="L17" s="153" t="n">
        <f aca="false">'Staff P&amp;L'!$E$6/12*'Staff P&amp;L'!$T$6+'Staff P&amp;L'!$E$7/12*'Staff P&amp;L'!$T$7+'Monthly Capacity'!L$40*'Staff P&amp;L'!$T$8+'Monthly Capacity'!L$41*'Staff P&amp;L'!$T$9+'Staff P&amp;L'!$E$11/12*'Staff P&amp;L'!$T$11+'Growth &amp; Hiring'!L$24</f>
        <v>47779.375</v>
      </c>
      <c r="M17" s="153" t="n">
        <f aca="false">'Staff P&amp;L'!$E$6/12*'Staff P&amp;L'!$T$6+'Staff P&amp;L'!$E$7/12*'Staff P&amp;L'!$T$7+'Monthly Capacity'!M$40*'Staff P&amp;L'!$T$8+'Monthly Capacity'!M$41*'Staff P&amp;L'!$T$9+'Staff P&amp;L'!$E$11/12*'Staff P&amp;L'!$T$11+'Growth &amp; Hiring'!M$24</f>
        <v>49379.375</v>
      </c>
      <c r="N17" s="151" t="n">
        <f aca="false">SUM(B17:M17)</f>
        <v>511925.625</v>
      </c>
      <c r="P17" s="152" t="s">
        <v>514</v>
      </c>
    </row>
    <row r="18" customFormat="false" ht="14.25" hidden="false" customHeight="true" outlineLevel="0" collapsed="false">
      <c r="A18" s="46" t="s">
        <v>515</v>
      </c>
      <c r="B18" s="153" t="n">
        <f aca="false">'Staff P&amp;L'!$J$6/12*'Staff P&amp;L'!$T$6+'Staff P&amp;L'!$J$7/12*'Staff P&amp;L'!$T$7+'Staff P&amp;L'!$J$8/12*'Staff P&amp;L'!$T$8+'Staff P&amp;L'!$J$9/12*'Staff P&amp;L'!$T$9+'Staff P&amp;L'!$J$11/12*'Staff P&amp;L'!$T$11</f>
        <v>3164.29208333333</v>
      </c>
      <c r="C18" s="153" t="n">
        <f aca="false">'Staff P&amp;L'!$J$6/12*'Staff P&amp;L'!$T$6+'Staff P&amp;L'!$J$7/12*'Staff P&amp;L'!$T$7+'Staff P&amp;L'!$J$8/12*'Staff P&amp;L'!$T$8+'Staff P&amp;L'!$J$9/12*'Staff P&amp;L'!$T$9+'Staff P&amp;L'!$J$11/12*'Staff P&amp;L'!$T$11</f>
        <v>3164.29208333333</v>
      </c>
      <c r="D18" s="153" t="n">
        <f aca="false">'Staff P&amp;L'!$J$6/12*'Staff P&amp;L'!$T$6+'Staff P&amp;L'!$J$7/12*'Staff P&amp;L'!$T$7+'Staff P&amp;L'!$J$8/12*'Staff P&amp;L'!$T$8+'Staff P&amp;L'!$J$9/12*'Staff P&amp;L'!$T$9+'Staff P&amp;L'!$J$11/12*'Staff P&amp;L'!$T$11+IFERROR('Staff P&amp;L'!$D$25/'Staff P&amp;L'!$H$25*'Staff P&amp;L'!$I$25,0)</f>
        <v>3164.29208333333</v>
      </c>
      <c r="E18" s="153" t="n">
        <f aca="false">'Staff P&amp;L'!$J$6/12*'Staff P&amp;L'!$T$6+'Staff P&amp;L'!$J$7/12*'Staff P&amp;L'!$T$7+'Staff P&amp;L'!$J$8/12*'Staff P&amp;L'!$T$8+'Staff P&amp;L'!$J$9/12*'Staff P&amp;L'!$T$9+'Staff P&amp;L'!$J$11/12*'Staff P&amp;L'!$T$11</f>
        <v>3164.29208333333</v>
      </c>
      <c r="F18" s="153" t="n">
        <f aca="false">'Staff P&amp;L'!$J$6/12*'Staff P&amp;L'!$T$6+'Staff P&amp;L'!$J$7/12*'Staff P&amp;L'!$T$7+'Staff P&amp;L'!$J$8/12*'Staff P&amp;L'!$T$8+'Staff P&amp;L'!$J$9/12*'Staff P&amp;L'!$T$9+'Staff P&amp;L'!$J$11/12*'Staff P&amp;L'!$T$11</f>
        <v>3164.29208333333</v>
      </c>
      <c r="G18" s="153" t="n">
        <f aca="false">'Staff P&amp;L'!$J$6/12*'Staff P&amp;L'!$T$6+'Staff P&amp;L'!$J$7/12*'Staff P&amp;L'!$T$7+'Staff P&amp;L'!$J$8/12*'Staff P&amp;L'!$T$8+'Staff P&amp;L'!$J$9/12*'Staff P&amp;L'!$T$9+'Staff P&amp;L'!$J$11/12*'Staff P&amp;L'!$T$11+IFERROR('Staff P&amp;L'!$E$25/'Staff P&amp;L'!$H$25*'Staff P&amp;L'!$I$25,0)</f>
        <v>3164.29208333333</v>
      </c>
      <c r="H18" s="153" t="n">
        <f aca="false">'Staff P&amp;L'!$J$6/12*'Staff P&amp;L'!$T$6+'Staff P&amp;L'!$J$7/12*'Staff P&amp;L'!$T$7+'Staff P&amp;L'!$J$8/12*'Staff P&amp;L'!$T$8+'Staff P&amp;L'!$J$9/12*'Staff P&amp;L'!$T$9+'Staff P&amp;L'!$J$11/12*'Staff P&amp;L'!$T$11</f>
        <v>3164.29208333333</v>
      </c>
      <c r="I18" s="153" t="n">
        <f aca="false">'Staff P&amp;L'!$J$6/12*'Staff P&amp;L'!$T$6+'Staff P&amp;L'!$J$7/12*'Staff P&amp;L'!$T$7+'Staff P&amp;L'!$J$8/12*'Staff P&amp;L'!$T$8+'Staff P&amp;L'!$J$9/12*'Staff P&amp;L'!$T$9+'Staff P&amp;L'!$J$11/12*'Staff P&amp;L'!$T$11</f>
        <v>3164.29208333333</v>
      </c>
      <c r="J18" s="153" t="n">
        <f aca="false">'Staff P&amp;L'!$J$6/12*'Staff P&amp;L'!$T$6+'Staff P&amp;L'!$J$7/12*'Staff P&amp;L'!$T$7+'Staff P&amp;L'!$J$8/12*'Staff P&amp;L'!$T$8+'Staff P&amp;L'!$J$9/12*'Staff P&amp;L'!$T$9+'Staff P&amp;L'!$J$11/12*'Staff P&amp;L'!$T$11+IFERROR('Staff P&amp;L'!$F$25/'Staff P&amp;L'!$H$25*'Staff P&amp;L'!$I$25,0)</f>
        <v>3841.53128333333</v>
      </c>
      <c r="K18" s="153" t="n">
        <f aca="false">'Staff P&amp;L'!$J$6/12*'Staff P&amp;L'!$T$6+'Staff P&amp;L'!$J$7/12*'Staff P&amp;L'!$T$7+'Staff P&amp;L'!$J$8/12*'Staff P&amp;L'!$T$8+'Staff P&amp;L'!$J$9/12*'Staff P&amp;L'!$T$9+'Staff P&amp;L'!$J$11/12*'Staff P&amp;L'!$T$11</f>
        <v>3164.29208333333</v>
      </c>
      <c r="L18" s="153" t="n">
        <f aca="false">'Staff P&amp;L'!$J$6/12*'Staff P&amp;L'!$T$6+'Staff P&amp;L'!$J$7/12*'Staff P&amp;L'!$T$7+'Staff P&amp;L'!$J$8/12*'Staff P&amp;L'!$T$8+'Staff P&amp;L'!$J$9/12*'Staff P&amp;L'!$T$9+'Staff P&amp;L'!$J$11/12*'Staff P&amp;L'!$T$11</f>
        <v>3164.29208333333</v>
      </c>
      <c r="M18" s="153" t="n">
        <f aca="false">'Staff P&amp;L'!$J$6/12*'Staff P&amp;L'!$T$6+'Staff P&amp;L'!$J$7/12*'Staff P&amp;L'!$T$7+'Staff P&amp;L'!$J$8/12*'Staff P&amp;L'!$T$8+'Staff P&amp;L'!$J$9/12*'Staff P&amp;L'!$T$9+'Staff P&amp;L'!$J$11/12*'Staff P&amp;L'!$T$11+IFERROR('Staff P&amp;L'!$G$25/'Staff P&amp;L'!$H$25*'Staff P&amp;L'!$I$25,0)</f>
        <v>3841.53128333333</v>
      </c>
      <c r="N18" s="151" t="n">
        <f aca="false">SUM(B18:M18)</f>
        <v>39325.9834</v>
      </c>
      <c r="P18" s="152" t="s">
        <v>516</v>
      </c>
    </row>
    <row r="19" customFormat="false" ht="14.25" hidden="false" customHeight="true" outlineLevel="0" collapsed="false">
      <c r="A19" s="46" t="s">
        <v>517</v>
      </c>
      <c r="B19" s="160" t="n">
        <f aca="false">IF(1&gt;=Benefits!$B$43,Benefits!$F$19*'Staff P&amp;L'!$T$6+Benefits!$F$20*'Staff P&amp;L'!$T$7+Benefits!$F$21*'Staff P&amp;L'!$T$8+Benefits!$F$22*'Staff P&amp;L'!$T$9+Benefits!$F$24*'Staff P&amp;L'!$T$11,0)</f>
        <v>0</v>
      </c>
      <c r="C19" s="160" t="n">
        <f aca="false">IF(2&gt;=Benefits!$B$43,Benefits!$F$19*'Staff P&amp;L'!$T$6+Benefits!$F$20*'Staff P&amp;L'!$T$7+Benefits!$F$21*'Staff P&amp;L'!$T$8+Benefits!$F$22*'Staff P&amp;L'!$T$9+Benefits!$F$24*'Staff P&amp;L'!$T$11,0)</f>
        <v>0</v>
      </c>
      <c r="D19" s="160" t="n">
        <f aca="false">IF(3&gt;=Benefits!$B$43,Benefits!$F$19*'Staff P&amp;L'!$T$6+Benefits!$F$20*'Staff P&amp;L'!$T$7+Benefits!$F$21*'Staff P&amp;L'!$T$8+Benefits!$F$22*'Staff P&amp;L'!$T$9+Benefits!$F$24*'Staff P&amp;L'!$T$11,0)</f>
        <v>0</v>
      </c>
      <c r="E19" s="160" t="n">
        <f aca="false">IF(4&gt;=Benefits!$B$43,Benefits!$F$19*'Staff P&amp;L'!$T$6+Benefits!$F$20*'Staff P&amp;L'!$T$7+Benefits!$F$21*'Staff P&amp;L'!$T$8+Benefits!$F$22*'Staff P&amp;L'!$T$9+Benefits!$F$24*'Staff P&amp;L'!$T$11,0)</f>
        <v>0</v>
      </c>
      <c r="F19" s="160" t="n">
        <f aca="false">IF(5&gt;=Benefits!$B$43,Benefits!$F$19*'Staff P&amp;L'!$T$6+Benefits!$F$20*'Staff P&amp;L'!$T$7+Benefits!$F$21*'Staff P&amp;L'!$T$8+Benefits!$F$22*'Staff P&amp;L'!$T$9+Benefits!$F$24*'Staff P&amp;L'!$T$11,0)</f>
        <v>0</v>
      </c>
      <c r="G19" s="160" t="n">
        <f aca="false">IF(6&gt;=Benefits!$B$43,Benefits!$F$19*'Staff P&amp;L'!$T$6+Benefits!$F$20*'Staff P&amp;L'!$T$7+Benefits!$F$21*'Staff P&amp;L'!$T$8+Benefits!$F$22*'Staff P&amp;L'!$T$9+Benefits!$F$24*'Staff P&amp;L'!$T$11,0)</f>
        <v>0</v>
      </c>
      <c r="H19" s="160" t="n">
        <f aca="false">IF(7&gt;=Benefits!$B$43,Benefits!$F$19*'Staff P&amp;L'!$T$6+Benefits!$F$20*'Staff P&amp;L'!$T$7+Benefits!$F$21*'Staff P&amp;L'!$T$8+Benefits!$F$22*'Staff P&amp;L'!$T$9+Benefits!$F$24*'Staff P&amp;L'!$T$11,0)</f>
        <v>0</v>
      </c>
      <c r="I19" s="160" t="n">
        <f aca="false">IF(8&gt;=Benefits!$B$43,Benefits!$F$19*'Staff P&amp;L'!$T$6+Benefits!$F$20*'Staff P&amp;L'!$T$7+Benefits!$F$21*'Staff P&amp;L'!$T$8+Benefits!$F$22*'Staff P&amp;L'!$T$9+Benefits!$F$24*'Staff P&amp;L'!$T$11,0)</f>
        <v>0</v>
      </c>
      <c r="J19" s="160" t="n">
        <f aca="false">IF(9&gt;=Benefits!$B$43,Benefits!$F$19*'Staff P&amp;L'!$T$6+Benefits!$F$20*'Staff P&amp;L'!$T$7+Benefits!$F$21*'Staff P&amp;L'!$T$8+Benefits!$F$22*'Staff P&amp;L'!$T$9+Benefits!$F$24*'Staff P&amp;L'!$T$11,0)</f>
        <v>0</v>
      </c>
      <c r="K19" s="160" t="n">
        <f aca="false">IF(10&gt;=Benefits!$B$43,Benefits!$F$19*'Staff P&amp;L'!$T$6+Benefits!$F$20*'Staff P&amp;L'!$T$7+Benefits!$F$21*'Staff P&amp;L'!$T$8+Benefits!$F$22*'Staff P&amp;L'!$T$9+Benefits!$F$24*'Staff P&amp;L'!$T$11,0)</f>
        <v>0</v>
      </c>
      <c r="L19" s="160" t="n">
        <f aca="false">IF(11&gt;=Benefits!$B$43,Benefits!$F$19*'Staff P&amp;L'!$T$6+Benefits!$F$20*'Staff P&amp;L'!$T$7+Benefits!$F$21*'Staff P&amp;L'!$T$8+Benefits!$F$22*'Staff P&amp;L'!$T$9+Benefits!$F$24*'Staff P&amp;L'!$T$11,0)</f>
        <v>5327.5145</v>
      </c>
      <c r="M19" s="160" t="n">
        <f aca="false">IF(12&gt;=Benefits!$B$43,Benefits!$F$19*'Staff P&amp;L'!$T$6+Benefits!$F$20*'Staff P&amp;L'!$T$7+Benefits!$F$21*'Staff P&amp;L'!$T$8+Benefits!$F$22*'Staff P&amp;L'!$T$9+Benefits!$F$24*'Staff P&amp;L'!$T$11,0)</f>
        <v>5327.5145</v>
      </c>
      <c r="N19" s="151" t="n">
        <f aca="false">SUM(B19:M19)</f>
        <v>10655.029</v>
      </c>
      <c r="P19" s="152" t="s">
        <v>518</v>
      </c>
    </row>
    <row r="20" customFormat="false" ht="14.25" hidden="false" customHeight="true" outlineLevel="0" collapsed="false">
      <c r="A20" s="154" t="s">
        <v>519</v>
      </c>
      <c r="B20" s="155" t="n">
        <f aca="false">B15+B16+B17+B18+B19</f>
        <v>44118.45875</v>
      </c>
      <c r="C20" s="155" t="n">
        <f aca="false">C15+C16+C17+C18+C19</f>
        <v>42518.45875</v>
      </c>
      <c r="D20" s="155" t="n">
        <f aca="false">D15+D16+D17+D18+D19</f>
        <v>44118.45875</v>
      </c>
      <c r="E20" s="155" t="n">
        <f aca="false">E15+E16+E17+E18+E19</f>
        <v>44118.45875</v>
      </c>
      <c r="F20" s="155" t="n">
        <f aca="false">F15+F16+F17+F18+F19</f>
        <v>43318.45875</v>
      </c>
      <c r="G20" s="155" t="n">
        <f aca="false">G15+G16+G17+G18+G19</f>
        <v>44118.45875</v>
      </c>
      <c r="H20" s="155" t="n">
        <f aca="false">H15+H16+H17+H18+H19</f>
        <v>44918.45875</v>
      </c>
      <c r="I20" s="155" t="n">
        <f aca="false">I15+I16+I17+I18+I19</f>
        <v>43318.45875</v>
      </c>
      <c r="J20" s="155" t="n">
        <f aca="false">J15+J16+J17+J18+J19</f>
        <v>53648.49795</v>
      </c>
      <c r="K20" s="155" t="n">
        <f aca="false">K15+K16+K17+K18+K19</f>
        <v>51743.6670833333</v>
      </c>
      <c r="L20" s="155" t="n">
        <f aca="false">L15+L16+L17+L18+L19</f>
        <v>56271.1815833333</v>
      </c>
      <c r="M20" s="155" t="n">
        <f aca="false">M15+M16+M17+M18+M19</f>
        <v>67401.2207833333</v>
      </c>
      <c r="N20" s="155" t="n">
        <f aca="false">N15+N16+N17+N18+N19</f>
        <v>579612.2374</v>
      </c>
    </row>
    <row r="21" customFormat="false" ht="14.25" hidden="false" customHeight="true" outlineLevel="0" collapsed="false">
      <c r="A21" s="154" t="s">
        <v>520</v>
      </c>
      <c r="B21" s="155" t="n">
        <f aca="false">B12+B13+B20</f>
        <v>48346.93875</v>
      </c>
      <c r="C21" s="155" t="n">
        <f aca="false">C12+C13+C20</f>
        <v>46746.93875</v>
      </c>
      <c r="D21" s="155" t="n">
        <f aca="false">D12+D13+D20</f>
        <v>48346.93875</v>
      </c>
      <c r="E21" s="155" t="n">
        <f aca="false">E12+E13+E20</f>
        <v>48346.93875</v>
      </c>
      <c r="F21" s="155" t="n">
        <f aca="false">F12+F13+F20</f>
        <v>47546.93875</v>
      </c>
      <c r="G21" s="155" t="n">
        <f aca="false">G12+G13+G20</f>
        <v>48346.93875</v>
      </c>
      <c r="H21" s="155" t="n">
        <f aca="false">H12+H13+H20</f>
        <v>49146.93875</v>
      </c>
      <c r="I21" s="155" t="n">
        <f aca="false">I12+I13+I20</f>
        <v>47546.93875</v>
      </c>
      <c r="J21" s="155" t="n">
        <f aca="false">J12+J13+J20</f>
        <v>57876.97795</v>
      </c>
      <c r="K21" s="155" t="n">
        <f aca="false">K12+K13+K20</f>
        <v>55972.1470833333</v>
      </c>
      <c r="L21" s="155" t="n">
        <f aca="false">L12+L13+L20</f>
        <v>60499.6615833333</v>
      </c>
      <c r="M21" s="155" t="n">
        <f aca="false">M12+M13+M20</f>
        <v>71629.7007833333</v>
      </c>
      <c r="N21" s="155" t="n">
        <f aca="false">N12+N13+N20</f>
        <v>630353.9974</v>
      </c>
    </row>
    <row r="22" customFormat="false" ht="14.25" hidden="false" customHeight="true" outlineLevel="0" collapsed="false">
      <c r="A22" s="161" t="s">
        <v>521</v>
      </c>
      <c r="B22" s="76" t="n">
        <f aca="false">B10-B21</f>
        <v>48002.2434419443</v>
      </c>
      <c r="C22" s="76" t="n">
        <f aca="false">C10-C21</f>
        <v>44322.8207812788</v>
      </c>
      <c r="D22" s="76" t="n">
        <f aca="false">D10-D21</f>
        <v>53281.6661026098</v>
      </c>
      <c r="E22" s="76" t="n">
        <f aca="false">E10-E21</f>
        <v>53281.6661026098</v>
      </c>
      <c r="F22" s="76" t="n">
        <f aca="false">F10-F21</f>
        <v>43522.8207812788</v>
      </c>
      <c r="G22" s="76" t="n">
        <f aca="false">G10-G21</f>
        <v>53281.6661026098</v>
      </c>
      <c r="H22" s="76" t="n">
        <f aca="false">H10-H21</f>
        <v>52481.6661026098</v>
      </c>
      <c r="I22" s="76" t="n">
        <f aca="false">I10-I21</f>
        <v>51802.2434419443</v>
      </c>
      <c r="J22" s="76" t="n">
        <f aca="false">J10-J21</f>
        <v>44472.2042419444</v>
      </c>
      <c r="K22" s="76" t="n">
        <f aca="false">K10-K21</f>
        <v>66713.6826470736</v>
      </c>
      <c r="L22" s="76" t="n">
        <f aca="false">L10-L21</f>
        <v>53335.4773031215</v>
      </c>
      <c r="M22" s="76" t="n">
        <f aca="false">M10-M21</f>
        <v>51130.7835250976</v>
      </c>
      <c r="N22" s="76" t="n">
        <f aca="false">N10-N21</f>
        <v>615628.940574123</v>
      </c>
    </row>
    <row r="23" customFormat="false" ht="14.25" hidden="false" customHeight="true" outlineLevel="0" collapsed="false">
      <c r="A23" s="44" t="s">
        <v>522</v>
      </c>
      <c r="B23" s="45"/>
      <c r="C23" s="45"/>
      <c r="D23" s="45"/>
      <c r="E23" s="45"/>
      <c r="F23" s="45"/>
      <c r="G23" s="45"/>
      <c r="H23" s="45"/>
      <c r="I23" s="45"/>
      <c r="J23" s="45"/>
      <c r="K23" s="45"/>
      <c r="L23" s="45"/>
      <c r="M23" s="45"/>
      <c r="N23" s="45"/>
    </row>
    <row r="24" customFormat="false" ht="14.25" hidden="false" customHeight="true" outlineLevel="0" collapsed="false">
      <c r="A24" s="46" t="s">
        <v>523</v>
      </c>
      <c r="B24" s="156" t="n">
        <f aca="false">'Staff P&amp;L'!$E$6/12*(1-'Staff P&amp;L'!$T$6)</f>
        <v>7687.5</v>
      </c>
      <c r="C24" s="156" t="n">
        <f aca="false">'Staff P&amp;L'!$E$6/12*(1-'Staff P&amp;L'!$T$6)</f>
        <v>7687.5</v>
      </c>
      <c r="D24" s="156" t="n">
        <f aca="false">'Staff P&amp;L'!$E$6/12*(1-'Staff P&amp;L'!$T$6)</f>
        <v>7687.5</v>
      </c>
      <c r="E24" s="156" t="n">
        <f aca="false">'Staff P&amp;L'!$E$6/12*(1-'Staff P&amp;L'!$T$6)</f>
        <v>7687.5</v>
      </c>
      <c r="F24" s="156" t="n">
        <f aca="false">'Staff P&amp;L'!$E$6/12*(1-'Staff P&amp;L'!$T$6)</f>
        <v>7687.5</v>
      </c>
      <c r="G24" s="156" t="n">
        <f aca="false">'Staff P&amp;L'!$E$6/12*(1-'Staff P&amp;L'!$T$6)</f>
        <v>7687.5</v>
      </c>
      <c r="H24" s="156" t="n">
        <f aca="false">'Staff P&amp;L'!$E$6/12*(1-'Staff P&amp;L'!$T$6)</f>
        <v>7687.5</v>
      </c>
      <c r="I24" s="156" t="n">
        <f aca="false">'Staff P&amp;L'!$E$6/12*(1-'Staff P&amp;L'!$T$6)</f>
        <v>7687.5</v>
      </c>
      <c r="J24" s="156" t="n">
        <f aca="false">'Staff P&amp;L'!$E$6/12*(1-'Staff P&amp;L'!$T$6)</f>
        <v>7687.5</v>
      </c>
      <c r="K24" s="156" t="n">
        <f aca="false">'Staff P&amp;L'!$E$6/12*(1-'Staff P&amp;L'!$T$6)</f>
        <v>7687.5</v>
      </c>
      <c r="L24" s="156" t="n">
        <f aca="false">'Staff P&amp;L'!$E$6/12*(1-'Staff P&amp;L'!$T$6)</f>
        <v>7687.5</v>
      </c>
      <c r="M24" s="156" t="n">
        <f aca="false">'Staff P&amp;L'!$E$6/12*(1-'Staff P&amp;L'!$T$6)</f>
        <v>7687.5</v>
      </c>
      <c r="N24" s="151" t="n">
        <f aca="false">SUM(B24:M24)</f>
        <v>92250</v>
      </c>
      <c r="P24" s="152" t="s">
        <v>524</v>
      </c>
    </row>
    <row r="25" customFormat="false" ht="14.25" hidden="false" customHeight="true" outlineLevel="0" collapsed="false">
      <c r="A25" s="46" t="s">
        <v>525</v>
      </c>
      <c r="B25" s="156" t="n">
        <f aca="false">'Staff P&amp;L'!$E$11/12*(1-'Staff P&amp;L'!$T$11)</f>
        <v>5666.66666666667</v>
      </c>
      <c r="C25" s="156" t="n">
        <f aca="false">'Staff P&amp;L'!$E$11/12*(1-'Staff P&amp;L'!$T$11)</f>
        <v>5666.66666666667</v>
      </c>
      <c r="D25" s="156" t="n">
        <f aca="false">'Staff P&amp;L'!$E$11/12*(1-'Staff P&amp;L'!$T$11)</f>
        <v>5666.66666666667</v>
      </c>
      <c r="E25" s="156" t="n">
        <f aca="false">'Staff P&amp;L'!$E$11/12*(1-'Staff P&amp;L'!$T$11)</f>
        <v>5666.66666666667</v>
      </c>
      <c r="F25" s="156" t="n">
        <f aca="false">'Staff P&amp;L'!$E$11/12*(1-'Staff P&amp;L'!$T$11)</f>
        <v>5666.66666666667</v>
      </c>
      <c r="G25" s="156" t="n">
        <f aca="false">'Staff P&amp;L'!$E$11/12*(1-'Staff P&amp;L'!$T$11)</f>
        <v>5666.66666666667</v>
      </c>
      <c r="H25" s="156" t="n">
        <f aca="false">'Staff P&amp;L'!$E$11/12*(1-'Staff P&amp;L'!$T$11)</f>
        <v>5666.66666666667</v>
      </c>
      <c r="I25" s="156" t="n">
        <f aca="false">'Staff P&amp;L'!$E$11/12*(1-'Staff P&amp;L'!$T$11)</f>
        <v>5666.66666666667</v>
      </c>
      <c r="J25" s="156" t="n">
        <f aca="false">'Staff P&amp;L'!$E$11/12*(1-'Staff P&amp;L'!$T$11)</f>
        <v>5666.66666666667</v>
      </c>
      <c r="K25" s="156" t="n">
        <f aca="false">'Staff P&amp;L'!$E$11/12*(1-'Staff P&amp;L'!$T$11)</f>
        <v>5666.66666666667</v>
      </c>
      <c r="L25" s="156" t="n">
        <f aca="false">'Staff P&amp;L'!$E$11/12*(1-'Staff P&amp;L'!$T$11)</f>
        <v>5666.66666666667</v>
      </c>
      <c r="M25" s="156" t="n">
        <f aca="false">'Staff P&amp;L'!$E$11/12*(1-'Staff P&amp;L'!$T$11)</f>
        <v>5666.66666666667</v>
      </c>
      <c r="N25" s="151" t="n">
        <f aca="false">SUM(B25:M25)</f>
        <v>68000</v>
      </c>
      <c r="P25" s="152" t="s">
        <v>526</v>
      </c>
    </row>
    <row r="26" customFormat="false" ht="14.25" hidden="false" customHeight="true" outlineLevel="0" collapsed="false">
      <c r="A26" s="46" t="s">
        <v>527</v>
      </c>
      <c r="B26" s="156" t="n">
        <f aca="false">'Staff P&amp;L'!$J$6/12*(1-'Staff P&amp;L'!$T$6)+'Staff P&amp;L'!$J$11/12*(1-'Staff P&amp;L'!$T$11)</f>
        <v>1038.82875</v>
      </c>
      <c r="C26" s="156" t="n">
        <f aca="false">'Staff P&amp;L'!$J$6/12*(1-'Staff P&amp;L'!$T$6)+'Staff P&amp;L'!$J$11/12*(1-'Staff P&amp;L'!$T$11)</f>
        <v>1038.82875</v>
      </c>
      <c r="D26" s="156" t="n">
        <f aca="false">'Staff P&amp;L'!$J$6/12*(1-'Staff P&amp;L'!$T$6)+'Staff P&amp;L'!$J$11/12*(1-'Staff P&amp;L'!$T$11)</f>
        <v>1038.82875</v>
      </c>
      <c r="E26" s="156" t="n">
        <f aca="false">'Staff P&amp;L'!$J$6/12*(1-'Staff P&amp;L'!$T$6)+'Staff P&amp;L'!$J$11/12*(1-'Staff P&amp;L'!$T$11)</f>
        <v>1038.82875</v>
      </c>
      <c r="F26" s="156" t="n">
        <f aca="false">'Staff P&amp;L'!$J$6/12*(1-'Staff P&amp;L'!$T$6)+'Staff P&amp;L'!$J$11/12*(1-'Staff P&amp;L'!$T$11)</f>
        <v>1038.82875</v>
      </c>
      <c r="G26" s="156" t="n">
        <f aca="false">'Staff P&amp;L'!$J$6/12*(1-'Staff P&amp;L'!$T$6)+'Staff P&amp;L'!$J$11/12*(1-'Staff P&amp;L'!$T$11)</f>
        <v>1038.82875</v>
      </c>
      <c r="H26" s="156" t="n">
        <f aca="false">'Staff P&amp;L'!$J$6/12*(1-'Staff P&amp;L'!$T$6)+'Staff P&amp;L'!$J$11/12*(1-'Staff P&amp;L'!$T$11)</f>
        <v>1038.82875</v>
      </c>
      <c r="I26" s="156" t="n">
        <f aca="false">'Staff P&amp;L'!$J$6/12*(1-'Staff P&amp;L'!$T$6)+'Staff P&amp;L'!$J$11/12*(1-'Staff P&amp;L'!$T$11)</f>
        <v>1038.82875</v>
      </c>
      <c r="J26" s="156" t="n">
        <f aca="false">'Staff P&amp;L'!$J$6/12*(1-'Staff P&amp;L'!$T$6)+'Staff P&amp;L'!$J$11/12*(1-'Staff P&amp;L'!$T$11)</f>
        <v>1038.82875</v>
      </c>
      <c r="K26" s="156" t="n">
        <f aca="false">'Staff P&amp;L'!$J$6/12*(1-'Staff P&amp;L'!$T$6)+'Staff P&amp;L'!$J$11/12*(1-'Staff P&amp;L'!$T$11)</f>
        <v>1038.82875</v>
      </c>
      <c r="L26" s="156" t="n">
        <f aca="false">'Staff P&amp;L'!$J$6/12*(1-'Staff P&amp;L'!$T$6)+'Staff P&amp;L'!$J$11/12*(1-'Staff P&amp;L'!$T$11)</f>
        <v>1038.82875</v>
      </c>
      <c r="M26" s="156" t="n">
        <f aca="false">'Staff P&amp;L'!$J$6/12*(1-'Staff P&amp;L'!$T$6)+'Staff P&amp;L'!$J$11/12*(1-'Staff P&amp;L'!$T$11)</f>
        <v>1038.82875</v>
      </c>
      <c r="N26" s="151" t="n">
        <f aca="false">SUM(B26:M26)</f>
        <v>12465.945</v>
      </c>
    </row>
    <row r="27" customFormat="false" ht="14.25" hidden="false" customHeight="true" outlineLevel="0" collapsed="false">
      <c r="A27" s="46" t="s">
        <v>528</v>
      </c>
      <c r="B27" s="153" t="n">
        <f aca="false">IF(1&gt;=Benefits!$B$43,Benefits!$F$19*(1-'Staff P&amp;L'!$T$6)+Benefits!$F$24*(1-'Staff P&amp;L'!$T$11),0)</f>
        <v>0</v>
      </c>
      <c r="C27" s="153" t="n">
        <f aca="false">IF(2&gt;=Benefits!$B$43,Benefits!$F$19*(1-'Staff P&amp;L'!$T$6)+Benefits!$F$24*(1-'Staff P&amp;L'!$T$11),0)</f>
        <v>0</v>
      </c>
      <c r="D27" s="153" t="n">
        <f aca="false">IF(3&gt;=Benefits!$B$43,Benefits!$F$19*(1-'Staff P&amp;L'!$T$6)+Benefits!$F$24*(1-'Staff P&amp;L'!$T$11),0)</f>
        <v>0</v>
      </c>
      <c r="E27" s="153" t="n">
        <f aca="false">IF(4&gt;=Benefits!$B$43,Benefits!$F$19*(1-'Staff P&amp;L'!$T$6)+Benefits!$F$24*(1-'Staff P&amp;L'!$T$11),0)</f>
        <v>0</v>
      </c>
      <c r="F27" s="153" t="n">
        <f aca="false">IF(5&gt;=Benefits!$B$43,Benefits!$F$19*(1-'Staff P&amp;L'!$T$6)+Benefits!$F$24*(1-'Staff P&amp;L'!$T$11),0)</f>
        <v>0</v>
      </c>
      <c r="G27" s="153" t="n">
        <f aca="false">IF(6&gt;=Benefits!$B$43,Benefits!$F$19*(1-'Staff P&amp;L'!$T$6)+Benefits!$F$24*(1-'Staff P&amp;L'!$T$11),0)</f>
        <v>0</v>
      </c>
      <c r="H27" s="153" t="n">
        <f aca="false">IF(7&gt;=Benefits!$B$43,Benefits!$F$19*(1-'Staff P&amp;L'!$T$6)+Benefits!$F$24*(1-'Staff P&amp;L'!$T$11),0)</f>
        <v>0</v>
      </c>
      <c r="I27" s="153" t="n">
        <f aca="false">IF(8&gt;=Benefits!$B$43,Benefits!$F$19*(1-'Staff P&amp;L'!$T$6)+Benefits!$F$24*(1-'Staff P&amp;L'!$T$11),0)</f>
        <v>0</v>
      </c>
      <c r="J27" s="153" t="n">
        <f aca="false">IF(9&gt;=Benefits!$B$43,Benefits!$F$19*(1-'Staff P&amp;L'!$T$6)+Benefits!$F$24*(1-'Staff P&amp;L'!$T$11),0)</f>
        <v>0</v>
      </c>
      <c r="K27" s="153" t="n">
        <f aca="false">IF(10&gt;=Benefits!$B$43,Benefits!$F$19*(1-'Staff P&amp;L'!$T$6)+Benefits!$F$24*(1-'Staff P&amp;L'!$T$11),0)</f>
        <v>0</v>
      </c>
      <c r="L27" s="153" t="n">
        <f aca="false">IF(11&gt;=Benefits!$B$43,Benefits!$F$19*(1-'Staff P&amp;L'!$T$6)+Benefits!$F$24*(1-'Staff P&amp;L'!$T$11),0)</f>
        <v>1639.1855</v>
      </c>
      <c r="M27" s="153" t="n">
        <f aca="false">IF(12&gt;=Benefits!$B$43,Benefits!$F$19*(1-'Staff P&amp;L'!$T$6)+Benefits!$F$24*(1-'Staff P&amp;L'!$T$11),0)</f>
        <v>1639.1855</v>
      </c>
      <c r="N27" s="151" t="n">
        <f aca="false">SUM(B27:M27)</f>
        <v>3278.371</v>
      </c>
    </row>
    <row r="28" customFormat="false" ht="14.25" hidden="false" customHeight="true" outlineLevel="0" collapsed="false">
      <c r="A28" s="46" t="s">
        <v>529</v>
      </c>
      <c r="B28" s="53" t="n">
        <v>56.33</v>
      </c>
      <c r="C28" s="53" t="n">
        <v>56.33</v>
      </c>
      <c r="D28" s="53" t="n">
        <v>56.33</v>
      </c>
      <c r="E28" s="53" t="n">
        <v>56.33</v>
      </c>
      <c r="F28" s="53" t="n">
        <v>56.33</v>
      </c>
      <c r="G28" s="53" t="n">
        <v>56.33</v>
      </c>
      <c r="H28" s="53" t="n">
        <v>56.33</v>
      </c>
      <c r="I28" s="53" t="n">
        <v>56.33</v>
      </c>
      <c r="J28" s="53" t="n">
        <v>56.33</v>
      </c>
      <c r="K28" s="53" t="n">
        <v>56.33</v>
      </c>
      <c r="L28" s="53" t="n">
        <v>56.33</v>
      </c>
      <c r="M28" s="53" t="n">
        <v>56.33</v>
      </c>
      <c r="N28" s="151" t="n">
        <f aca="false">SUM(B28:M28)</f>
        <v>675.96</v>
      </c>
      <c r="P28" s="152" t="s">
        <v>530</v>
      </c>
    </row>
    <row r="29" customFormat="false" ht="14.25" hidden="false" customHeight="true" outlineLevel="0" collapsed="false">
      <c r="A29" s="46" t="s">
        <v>531</v>
      </c>
      <c r="B29" s="53" t="n">
        <v>35.42</v>
      </c>
      <c r="C29" s="53" t="n">
        <v>35.42</v>
      </c>
      <c r="D29" s="53" t="n">
        <v>35.42</v>
      </c>
      <c r="E29" s="53" t="n">
        <v>35.42</v>
      </c>
      <c r="F29" s="53" t="n">
        <v>35.42</v>
      </c>
      <c r="G29" s="53" t="n">
        <v>35.42</v>
      </c>
      <c r="H29" s="53" t="n">
        <v>35.42</v>
      </c>
      <c r="I29" s="53" t="n">
        <v>35.42</v>
      </c>
      <c r="J29" s="53" t="n">
        <v>35.42</v>
      </c>
      <c r="K29" s="53" t="n">
        <v>35.42</v>
      </c>
      <c r="L29" s="53" t="n">
        <v>35.42</v>
      </c>
      <c r="M29" s="53" t="n">
        <v>35.42</v>
      </c>
      <c r="N29" s="151" t="n">
        <f aca="false">SUM(B29:M29)</f>
        <v>425.04</v>
      </c>
      <c r="P29" s="152" t="s">
        <v>530</v>
      </c>
    </row>
    <row r="30" customFormat="false" ht="14.25" hidden="false" customHeight="true" outlineLevel="0" collapsed="false">
      <c r="A30" s="46" t="s">
        <v>532</v>
      </c>
      <c r="B30" s="53" t="n">
        <v>118</v>
      </c>
      <c r="C30" s="53" t="n">
        <v>118</v>
      </c>
      <c r="D30" s="53" t="n">
        <v>118</v>
      </c>
      <c r="E30" s="53" t="n">
        <v>118</v>
      </c>
      <c r="F30" s="53" t="n">
        <v>118</v>
      </c>
      <c r="G30" s="53" t="n">
        <v>118</v>
      </c>
      <c r="H30" s="53" t="n">
        <v>118</v>
      </c>
      <c r="I30" s="53" t="n">
        <v>118</v>
      </c>
      <c r="J30" s="53" t="n">
        <v>118</v>
      </c>
      <c r="K30" s="53" t="n">
        <v>118</v>
      </c>
      <c r="L30" s="53" t="n">
        <v>118</v>
      </c>
      <c r="M30" s="53" t="n">
        <v>118</v>
      </c>
      <c r="N30" s="151" t="n">
        <f aca="false">SUM(B30:M30)</f>
        <v>1416</v>
      </c>
      <c r="P30" s="152" t="s">
        <v>530</v>
      </c>
    </row>
    <row r="31" customFormat="false" ht="14.25" hidden="false" customHeight="true" outlineLevel="0" collapsed="false">
      <c r="A31" s="46" t="s">
        <v>533</v>
      </c>
      <c r="B31" s="53" t="n">
        <v>171.66</v>
      </c>
      <c r="C31" s="53" t="n">
        <v>171.66</v>
      </c>
      <c r="D31" s="53" t="n">
        <v>171.66</v>
      </c>
      <c r="E31" s="53" t="n">
        <v>171.66</v>
      </c>
      <c r="F31" s="53" t="n">
        <v>171.66</v>
      </c>
      <c r="G31" s="53" t="n">
        <v>171.66</v>
      </c>
      <c r="H31" s="53" t="n">
        <v>171.66</v>
      </c>
      <c r="I31" s="53" t="n">
        <v>171.66</v>
      </c>
      <c r="J31" s="53" t="n">
        <v>171.66</v>
      </c>
      <c r="K31" s="53" t="n">
        <v>171.66</v>
      </c>
      <c r="L31" s="53" t="n">
        <v>171.66</v>
      </c>
      <c r="M31" s="53" t="n">
        <v>171.66</v>
      </c>
      <c r="N31" s="151" t="n">
        <f aca="false">SUM(B31:M31)</f>
        <v>2059.92</v>
      </c>
      <c r="P31" s="152" t="s">
        <v>530</v>
      </c>
    </row>
    <row r="32" customFormat="false" ht="14.25" hidden="false" customHeight="true" outlineLevel="0" collapsed="false">
      <c r="A32" s="46" t="s">
        <v>534</v>
      </c>
      <c r="B32" s="53" t="n">
        <f aca="false">1000*1.15</f>
        <v>1150</v>
      </c>
      <c r="C32" s="53" t="n">
        <f aca="false">1000*1.15</f>
        <v>1150</v>
      </c>
      <c r="D32" s="53" t="n">
        <f aca="false">1000*1.15</f>
        <v>1150</v>
      </c>
      <c r="E32" s="53" t="n">
        <f aca="false">1000*1.15</f>
        <v>1150</v>
      </c>
      <c r="F32" s="53" t="n">
        <f aca="false">1000*1.15</f>
        <v>1150</v>
      </c>
      <c r="G32" s="53" t="n">
        <f aca="false">1000*1.15</f>
        <v>1150</v>
      </c>
      <c r="H32" s="53" t="n">
        <f aca="false">1000*1.15</f>
        <v>1150</v>
      </c>
      <c r="I32" s="53" t="n">
        <f aca="false">1000*1.15</f>
        <v>1150</v>
      </c>
      <c r="J32" s="53" t="n">
        <f aca="false">1000*1.15</f>
        <v>1150</v>
      </c>
      <c r="K32" s="53" t="n">
        <f aca="false">1000*1.15</f>
        <v>1150</v>
      </c>
      <c r="L32" s="53" t="n">
        <f aca="false">1000*1.15</f>
        <v>1150</v>
      </c>
      <c r="M32" s="53" t="n">
        <f aca="false">1000*1.15</f>
        <v>1150</v>
      </c>
      <c r="N32" s="151" t="n">
        <f aca="false">SUM(B32:M32)</f>
        <v>13800</v>
      </c>
      <c r="P32" s="152"/>
    </row>
    <row r="33" customFormat="false" ht="14.25" hidden="false" customHeight="true" outlineLevel="0" collapsed="false">
      <c r="A33" s="46" t="s">
        <v>535</v>
      </c>
      <c r="B33" s="53" t="n">
        <v>1813.98</v>
      </c>
      <c r="C33" s="53" t="n">
        <v>1813.98</v>
      </c>
      <c r="D33" s="53" t="n">
        <v>1813.98</v>
      </c>
      <c r="E33" s="53" t="n">
        <v>1813.98</v>
      </c>
      <c r="F33" s="53" t="n">
        <v>1813.98</v>
      </c>
      <c r="G33" s="53" t="n">
        <v>1813.98</v>
      </c>
      <c r="H33" s="53" t="n">
        <v>1813.98</v>
      </c>
      <c r="I33" s="53" t="n">
        <v>1813.98</v>
      </c>
      <c r="J33" s="53" t="n">
        <v>1813.98</v>
      </c>
      <c r="K33" s="53" t="n">
        <v>1813.98</v>
      </c>
      <c r="L33" s="53" t="n">
        <v>1813.98</v>
      </c>
      <c r="M33" s="53" t="n">
        <v>1813.98</v>
      </c>
      <c r="N33" s="151" t="n">
        <f aca="false">SUM(B33:M33)</f>
        <v>21767.76</v>
      </c>
      <c r="P33" s="152" t="s">
        <v>530</v>
      </c>
    </row>
    <row r="34" customFormat="false" ht="14.25" hidden="false" customHeight="true" outlineLevel="0" collapsed="false">
      <c r="A34" s="46" t="s">
        <v>536</v>
      </c>
      <c r="B34" s="53" t="n">
        <v>420.88</v>
      </c>
      <c r="C34" s="53" t="n">
        <v>420.88</v>
      </c>
      <c r="D34" s="53" t="n">
        <v>420.88</v>
      </c>
      <c r="E34" s="53" t="n">
        <v>420.88</v>
      </c>
      <c r="F34" s="53" t="n">
        <v>420.88</v>
      </c>
      <c r="G34" s="53" t="n">
        <v>420.88</v>
      </c>
      <c r="H34" s="53" t="n">
        <v>420.88</v>
      </c>
      <c r="I34" s="53" t="n">
        <v>420.88</v>
      </c>
      <c r="J34" s="53" t="n">
        <v>420.88</v>
      </c>
      <c r="K34" s="53" t="n">
        <v>420.88</v>
      </c>
      <c r="L34" s="53" t="n">
        <v>420.88</v>
      </c>
      <c r="M34" s="53" t="n">
        <v>420.88</v>
      </c>
      <c r="N34" s="151" t="n">
        <f aca="false">SUM(B34:M34)</f>
        <v>5050.56</v>
      </c>
      <c r="P34" s="152" t="s">
        <v>530</v>
      </c>
    </row>
    <row r="35" customFormat="false" ht="14.25" hidden="false" customHeight="true" outlineLevel="0" collapsed="false">
      <c r="A35" s="46" t="s">
        <v>537</v>
      </c>
      <c r="B35" s="53" t="n">
        <v>2408.73</v>
      </c>
      <c r="C35" s="53" t="n">
        <v>2408.73</v>
      </c>
      <c r="D35" s="53" t="n">
        <v>2408.73</v>
      </c>
      <c r="E35" s="53" t="n">
        <v>2408.73</v>
      </c>
      <c r="F35" s="53" t="n">
        <v>2408.73</v>
      </c>
      <c r="G35" s="53" t="n">
        <v>2408.73</v>
      </c>
      <c r="H35" s="53" t="n">
        <v>2408.73</v>
      </c>
      <c r="I35" s="53" t="n">
        <v>2408.73</v>
      </c>
      <c r="J35" s="53" t="n">
        <v>2408.73</v>
      </c>
      <c r="K35" s="53" t="n">
        <v>2408.73</v>
      </c>
      <c r="L35" s="53" t="n">
        <v>2408.73</v>
      </c>
      <c r="M35" s="53" t="n">
        <v>2408.73</v>
      </c>
      <c r="N35" s="151" t="n">
        <f aca="false">SUM(B35:M35)</f>
        <v>28904.76</v>
      </c>
      <c r="P35" s="152" t="s">
        <v>530</v>
      </c>
    </row>
    <row r="36" customFormat="false" ht="14.25" hidden="false" customHeight="true" outlineLevel="0" collapsed="false">
      <c r="A36" s="46" t="s">
        <v>538</v>
      </c>
      <c r="B36" s="53" t="n">
        <v>224.18</v>
      </c>
      <c r="C36" s="53" t="n">
        <v>224.18</v>
      </c>
      <c r="D36" s="53" t="n">
        <v>224.18</v>
      </c>
      <c r="E36" s="53" t="n">
        <v>224.18</v>
      </c>
      <c r="F36" s="53" t="n">
        <v>224.18</v>
      </c>
      <c r="G36" s="53" t="n">
        <v>224.18</v>
      </c>
      <c r="H36" s="53" t="n">
        <v>224.18</v>
      </c>
      <c r="I36" s="53" t="n">
        <v>224.18</v>
      </c>
      <c r="J36" s="53" t="n">
        <v>224.18</v>
      </c>
      <c r="K36" s="53" t="n">
        <v>224.18</v>
      </c>
      <c r="L36" s="53" t="n">
        <v>224.18</v>
      </c>
      <c r="M36" s="53" t="n">
        <v>224.18</v>
      </c>
      <c r="N36" s="151" t="n">
        <f aca="false">SUM(B36:M36)</f>
        <v>2690.16</v>
      </c>
      <c r="P36" s="152" t="s">
        <v>530</v>
      </c>
    </row>
    <row r="37" customFormat="false" ht="14.25" hidden="false" customHeight="true" outlineLevel="0" collapsed="false">
      <c r="A37" s="46" t="s">
        <v>539</v>
      </c>
      <c r="B37" s="53" t="n">
        <v>11.22</v>
      </c>
      <c r="C37" s="53" t="n">
        <v>11.22</v>
      </c>
      <c r="D37" s="53" t="n">
        <v>11.22</v>
      </c>
      <c r="E37" s="53" t="n">
        <v>11.22</v>
      </c>
      <c r="F37" s="53" t="n">
        <v>11.22</v>
      </c>
      <c r="G37" s="53" t="n">
        <v>11.22</v>
      </c>
      <c r="H37" s="53" t="n">
        <v>11.22</v>
      </c>
      <c r="I37" s="53" t="n">
        <v>11.22</v>
      </c>
      <c r="J37" s="53" t="n">
        <v>11.22</v>
      </c>
      <c r="K37" s="53" t="n">
        <v>11.22</v>
      </c>
      <c r="L37" s="53" t="n">
        <v>11.22</v>
      </c>
      <c r="M37" s="53" t="n">
        <v>11.22</v>
      </c>
      <c r="N37" s="151" t="n">
        <f aca="false">SUM(B37:M37)</f>
        <v>134.64</v>
      </c>
      <c r="P37" s="152" t="s">
        <v>530</v>
      </c>
    </row>
    <row r="38" customFormat="false" ht="14.25" hidden="false" customHeight="true" outlineLevel="0" collapsed="false">
      <c r="A38" s="46" t="s">
        <v>540</v>
      </c>
      <c r="B38" s="53" t="n">
        <v>1200</v>
      </c>
      <c r="C38" s="53" t="n">
        <v>1200</v>
      </c>
      <c r="D38" s="53" t="n">
        <v>1200</v>
      </c>
      <c r="E38" s="53" t="n">
        <v>1200</v>
      </c>
      <c r="F38" s="53" t="n">
        <v>1200</v>
      </c>
      <c r="G38" s="53" t="n">
        <v>1200</v>
      </c>
      <c r="H38" s="53" t="n">
        <v>1200</v>
      </c>
      <c r="I38" s="53" t="n">
        <v>1200</v>
      </c>
      <c r="J38" s="53" t="n">
        <v>1200</v>
      </c>
      <c r="K38" s="53" t="n">
        <v>1200</v>
      </c>
      <c r="L38" s="53" t="n">
        <v>1200</v>
      </c>
      <c r="M38" s="53" t="n">
        <v>1200</v>
      </c>
      <c r="N38" s="151" t="n">
        <f aca="false">SUM(B38:M38)</f>
        <v>14400</v>
      </c>
      <c r="P38" s="152" t="s">
        <v>530</v>
      </c>
    </row>
    <row r="39" customFormat="false" ht="14.25" hidden="false" customHeight="true" outlineLevel="0" collapsed="false">
      <c r="A39" s="46" t="s">
        <v>541</v>
      </c>
      <c r="B39" s="53" t="n">
        <v>34.56</v>
      </c>
      <c r="C39" s="53" t="n">
        <v>34.56</v>
      </c>
      <c r="D39" s="53" t="n">
        <v>34.56</v>
      </c>
      <c r="E39" s="53" t="n">
        <v>34.56</v>
      </c>
      <c r="F39" s="53" t="n">
        <v>34.56</v>
      </c>
      <c r="G39" s="53" t="n">
        <v>34.56</v>
      </c>
      <c r="H39" s="53" t="n">
        <v>34.56</v>
      </c>
      <c r="I39" s="53" t="n">
        <v>34.56</v>
      </c>
      <c r="J39" s="53" t="n">
        <v>34.56</v>
      </c>
      <c r="K39" s="53" t="n">
        <v>34.56</v>
      </c>
      <c r="L39" s="53" t="n">
        <v>34.56</v>
      </c>
      <c r="M39" s="53" t="n">
        <v>34.56</v>
      </c>
      <c r="N39" s="151" t="n">
        <f aca="false">SUM(B39:M39)</f>
        <v>414.72</v>
      </c>
      <c r="P39" s="152" t="s">
        <v>530</v>
      </c>
    </row>
    <row r="40" customFormat="false" ht="14.25" hidden="false" customHeight="true" outlineLevel="0" collapsed="false">
      <c r="A40" s="154" t="s">
        <v>542</v>
      </c>
      <c r="B40" s="155" t="n">
        <f aca="false">B24+B25+B26+B27+B28+B29+B30+B31+B32+B33+B34+B35+B36+B37+B38+B39</f>
        <v>22037.9554166667</v>
      </c>
      <c r="C40" s="155" t="n">
        <f aca="false">C24+C25+C26+C27+C28+C29+C30+C31+C32+C33+C34+C35+C36+C37+C38+C39</f>
        <v>22037.9554166667</v>
      </c>
      <c r="D40" s="155" t="n">
        <f aca="false">D24+D25+D26+D27+D28+D29+D30+D31+D32+D33+D34+D35+D36+D37+D38+D39</f>
        <v>22037.9554166667</v>
      </c>
      <c r="E40" s="155" t="n">
        <f aca="false">E24+E25+E26+E27+E28+E29+E30+E31+E32+E33+E34+E35+E36+E37+E38+E39</f>
        <v>22037.9554166667</v>
      </c>
      <c r="F40" s="155" t="n">
        <f aca="false">F24+F25+F26+F27+F28+F29+F30+F31+F32+F33+F34+F35+F36+F37+F38+F39</f>
        <v>22037.9554166667</v>
      </c>
      <c r="G40" s="155" t="n">
        <f aca="false">G24+G25+G26+G27+G28+G29+G30+G31+G32+G33+G34+G35+G36+G37+G38+G39</f>
        <v>22037.9554166667</v>
      </c>
      <c r="H40" s="155" t="n">
        <f aca="false">H24+H25+H26+H27+H28+H29+H30+H31+H32+H33+H34+H35+H36+H37+H38+H39</f>
        <v>22037.9554166667</v>
      </c>
      <c r="I40" s="155" t="n">
        <f aca="false">I24+I25+I26+I27+I28+I29+I30+I31+I32+I33+I34+I35+I36+I37+I38+I39</f>
        <v>22037.9554166667</v>
      </c>
      <c r="J40" s="155" t="n">
        <f aca="false">J24+J25+J26+J27+J28+J29+J30+J31+J32+J33+J34+J35+J36+J37+J38+J39</f>
        <v>22037.9554166667</v>
      </c>
      <c r="K40" s="155" t="n">
        <f aca="false">K24+K25+K26+K27+K28+K29+K30+K31+K32+K33+K34+K35+K36+K37+K38+K39</f>
        <v>22037.9554166667</v>
      </c>
      <c r="L40" s="155" t="n">
        <f aca="false">L24+L25+L26+L27+L28+L29+L30+L31+L32+L33+L34+L35+L36+L37+L38+L39</f>
        <v>23677.1409166667</v>
      </c>
      <c r="M40" s="155" t="n">
        <f aca="false">M24+M25+M26+M27+M28+M29+M30+M31+M32+M33+M34+M35+M36+M37+M38+M39</f>
        <v>23677.1409166667</v>
      </c>
      <c r="N40" s="155" t="n">
        <f aca="false">N24+N25+N26+N27+N28+N29+N30+N31+N32+N33+N34+N35+N36+N37+N38+N39</f>
        <v>267733.836</v>
      </c>
    </row>
    <row r="41" customFormat="false" ht="14.25" hidden="false" customHeight="true" outlineLevel="0" collapsed="false">
      <c r="A41" s="161" t="s">
        <v>543</v>
      </c>
      <c r="B41" s="76" t="n">
        <f aca="false">B22-B40</f>
        <v>25964.2880252777</v>
      </c>
      <c r="C41" s="76" t="n">
        <f aca="false">C22-C40</f>
        <v>22284.8653646122</v>
      </c>
      <c r="D41" s="76" t="n">
        <f aca="false">D22-D40</f>
        <v>31243.7106859432</v>
      </c>
      <c r="E41" s="76" t="n">
        <f aca="false">E22-E40</f>
        <v>31243.7106859432</v>
      </c>
      <c r="F41" s="76" t="n">
        <f aca="false">F22-F40</f>
        <v>21484.8653646122</v>
      </c>
      <c r="G41" s="76" t="n">
        <f aca="false">G22-G40</f>
        <v>31243.7106859432</v>
      </c>
      <c r="H41" s="76" t="n">
        <f aca="false">H22-H40</f>
        <v>30443.7106859432</v>
      </c>
      <c r="I41" s="76" t="n">
        <f aca="false">I22-I40</f>
        <v>29764.2880252777</v>
      </c>
      <c r="J41" s="76" t="n">
        <f aca="false">J22-J40</f>
        <v>22434.2488252777</v>
      </c>
      <c r="K41" s="76" t="n">
        <f aca="false">K22-K40</f>
        <v>44675.727230407</v>
      </c>
      <c r="L41" s="76" t="n">
        <f aca="false">L22-L40</f>
        <v>29658.3363864548</v>
      </c>
      <c r="M41" s="76" t="n">
        <f aca="false">M22-M40</f>
        <v>27453.6426084309</v>
      </c>
      <c r="N41" s="76" t="n">
        <f aca="false">N22-N40</f>
        <v>347895.104574123</v>
      </c>
    </row>
    <row r="42" customFormat="false" ht="14.25" hidden="false" customHeight="true" outlineLevel="0" collapsed="false">
      <c r="A42" s="161" t="s">
        <v>544</v>
      </c>
      <c r="B42" s="162" t="n">
        <f aca="false">B41</f>
        <v>25964.2880252777</v>
      </c>
      <c r="C42" s="162" t="n">
        <f aca="false">C41</f>
        <v>22284.8653646122</v>
      </c>
      <c r="D42" s="162" t="n">
        <f aca="false">D41</f>
        <v>31243.7106859432</v>
      </c>
      <c r="E42" s="162" t="n">
        <f aca="false">E41</f>
        <v>31243.7106859432</v>
      </c>
      <c r="F42" s="162" t="n">
        <f aca="false">F41</f>
        <v>21484.8653646122</v>
      </c>
      <c r="G42" s="162" t="n">
        <f aca="false">G41</f>
        <v>31243.7106859432</v>
      </c>
      <c r="H42" s="162" t="n">
        <f aca="false">H41</f>
        <v>30443.7106859432</v>
      </c>
      <c r="I42" s="162" t="n">
        <f aca="false">I41</f>
        <v>29764.2880252777</v>
      </c>
      <c r="J42" s="162" t="n">
        <f aca="false">J41</f>
        <v>22434.2488252777</v>
      </c>
      <c r="K42" s="162" t="n">
        <f aca="false">K41</f>
        <v>44675.727230407</v>
      </c>
      <c r="L42" s="162" t="n">
        <f aca="false">L41</f>
        <v>29658.3363864548</v>
      </c>
      <c r="M42" s="162" t="n">
        <f aca="false">M41</f>
        <v>27453.6426084309</v>
      </c>
      <c r="N42" s="162" t="n">
        <f aca="false">N41</f>
        <v>347895.104574123</v>
      </c>
    </row>
    <row r="45" customFormat="false" ht="14.25" hidden="false" customHeight="true" outlineLevel="0" collapsed="false">
      <c r="A45" s="44" t="s">
        <v>545</v>
      </c>
      <c r="B45" s="45"/>
      <c r="C45" s="45"/>
      <c r="D45" s="45"/>
      <c r="E45" s="45"/>
    </row>
    <row r="46" customFormat="false" ht="14.25" hidden="false" customHeight="true" outlineLevel="0" collapsed="false">
      <c r="A46" s="8" t="s">
        <v>162</v>
      </c>
      <c r="B46" s="163" t="s">
        <v>546</v>
      </c>
      <c r="C46" s="163" t="s">
        <v>547</v>
      </c>
      <c r="D46" s="163" t="s">
        <v>548</v>
      </c>
      <c r="E46" s="163" t="s">
        <v>549</v>
      </c>
    </row>
    <row r="47" customFormat="false" ht="14.25" hidden="false" customHeight="true" outlineLevel="0" collapsed="false">
      <c r="A47" s="164" t="str">
        <f aca="false">'Staff P&amp;L'!$A$6</f>
        <v>Steven Nikolov</v>
      </c>
      <c r="B47" s="62" t="n">
        <f aca="false">'Staff P&amp;L'!$M$6</f>
        <v>202910.43</v>
      </c>
      <c r="C47" s="62" t="n">
        <f aca="false">'Staff P&amp;L'!$N$6</f>
        <v>16909.2025</v>
      </c>
      <c r="D47" s="67" t="n">
        <f aca="false">'Staff P&amp;L'!$O$6</f>
        <v>97.1793247126437</v>
      </c>
      <c r="E47" s="67" t="n">
        <f aca="false">'Staff P&amp;L'!$R$6</f>
        <v>246.571256953424</v>
      </c>
    </row>
    <row r="48" customFormat="false" ht="14.25" hidden="false" customHeight="true" outlineLevel="0" collapsed="false">
      <c r="A48" s="164" t="str">
        <f aca="false">'Staff P&amp;L'!$A$7</f>
        <v>Lisa Danforth</v>
      </c>
      <c r="B48" s="62" t="n">
        <f aca="false">'Staff P&amp;L'!$M$7</f>
        <v>193717.68</v>
      </c>
      <c r="C48" s="62" t="n">
        <f aca="false">'Staff P&amp;L'!$N$7</f>
        <v>16143.14</v>
      </c>
      <c r="D48" s="67" t="n">
        <f aca="false">'Staff P&amp;L'!$O$7</f>
        <v>92.7766666666667</v>
      </c>
      <c r="E48" s="67" t="n">
        <f aca="false">'Staff P&amp;L'!$R$7</f>
        <v>246.571256953424</v>
      </c>
    </row>
    <row r="49" customFormat="false" ht="14.25" hidden="false" customHeight="true" outlineLevel="0" collapsed="false">
      <c r="A49" s="164" t="str">
        <f aca="false">'Staff P&amp;L'!$A$8</f>
        <v>Jessica Bumphus</v>
      </c>
      <c r="B49" s="62" t="n">
        <f aca="false">'Staff P&amp;L'!$M$8</f>
        <v>137849.74</v>
      </c>
      <c r="C49" s="62" t="n">
        <f aca="false">'Staff P&amp;L'!$N$8</f>
        <v>11487.4783333333</v>
      </c>
      <c r="D49" s="67" t="n">
        <f aca="false">'Staff P&amp;L'!$O$8</f>
        <v>66.0199904214559</v>
      </c>
      <c r="E49" s="67" t="n">
        <f aca="false">'Staff P&amp;L'!$R$8</f>
        <v>151.11295604717</v>
      </c>
    </row>
    <row r="50" customFormat="false" ht="14.25" hidden="false" customHeight="true" outlineLevel="0" collapsed="false">
      <c r="A50" s="164" t="str">
        <f aca="false">'Staff P&amp;L'!$A$9</f>
        <v>Christine Johnson</v>
      </c>
      <c r="B50" s="62" t="n">
        <f aca="false">'Staff P&amp;L'!$M$9</f>
        <v>94197.2184</v>
      </c>
      <c r="C50" s="62" t="n">
        <f aca="false">'Staff P&amp;L'!$N$9</f>
        <v>7849.7682</v>
      </c>
      <c r="D50" s="67" t="n">
        <f aca="false">'Staff P&amp;L'!$O$9</f>
        <v>45.1136103448276</v>
      </c>
      <c r="E50" s="67" t="n">
        <f aca="false">'Staff P&amp;L'!$R$9</f>
        <v>94.9886413691999</v>
      </c>
    </row>
    <row r="51" customFormat="false" ht="14.25" hidden="false" customHeight="true" outlineLevel="0" collapsed="false">
      <c r="A51" s="164" t="str">
        <f aca="false">'Staff P&amp;L'!$A$10</f>
        <v>Valentina Dikova</v>
      </c>
      <c r="B51" s="62" t="n">
        <f aca="false">'Staff P&amp;L'!$M$10</f>
        <v>50400</v>
      </c>
      <c r="C51" s="62" t="n">
        <f aca="false">'Staff P&amp;L'!$N$10</f>
        <v>4200</v>
      </c>
      <c r="D51" s="67" t="n">
        <f aca="false">'Staff P&amp;L'!$O$10</f>
        <v>24.1379310344828</v>
      </c>
      <c r="E51" s="67" t="n">
        <f aca="false">'Staff P&amp;L'!$R$10</f>
        <v>94.9886413691999</v>
      </c>
    </row>
    <row r="52" customFormat="false" ht="14.25" hidden="false" customHeight="true" outlineLevel="0" collapsed="false">
      <c r="A52" s="164" t="str">
        <f aca="false">'Staff P&amp;L'!$A$11</f>
        <v>Josephine Mack</v>
      </c>
      <c r="B52" s="62" t="n">
        <f aca="false">'Staff P&amp;L'!$M$11</f>
        <v>104055.86</v>
      </c>
      <c r="C52" s="62" t="n">
        <f aca="false">'Staff P&amp;L'!$N$11</f>
        <v>8671.32166666667</v>
      </c>
      <c r="D52" s="67" t="n">
        <f aca="false">'Staff P&amp;L'!$O$11</f>
        <v>49.8351819923372</v>
      </c>
      <c r="E52" s="67" t="n">
        <f aca="false">'Staff P&amp;L'!$R$11</f>
        <v>94.9886413691999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5859375" defaultRowHeight="14.25" zeroHeight="false" outlineLevelRow="0" outlineLevelCol="0"/>
  <cols>
    <col collapsed="false" customWidth="true" hidden="false" outlineLevel="0" max="1" min="1" style="1" width="42"/>
    <col collapsed="false" customWidth="true" hidden="false" outlineLevel="0" max="13" min="2" style="1" width="11"/>
    <col collapsed="false" customWidth="true" hidden="false" outlineLevel="0" max="14" min="14" style="1" width="13"/>
  </cols>
  <sheetData>
    <row r="1" customFormat="false" ht="17.25" hidden="false" customHeight="true" outlineLevel="0" collapsed="false">
      <c r="A1" s="102" t="s">
        <v>0</v>
      </c>
    </row>
    <row r="2" customFormat="false" ht="15" hidden="false" customHeight="true" outlineLevel="0" collapsed="false">
      <c r="A2" s="103" t="s">
        <v>550</v>
      </c>
    </row>
    <row r="3" customFormat="false" ht="14.25" hidden="false" customHeight="true" outlineLevel="0" collapsed="false">
      <c r="A3" s="4" t="s">
        <v>551</v>
      </c>
    </row>
    <row r="5" customFormat="false" ht="14.25" hidden="false" customHeight="true" outlineLevel="0" collapsed="false">
      <c r="A5" s="33" t="s">
        <v>552</v>
      </c>
      <c r="B5" s="165" t="n">
        <f aca="false">Assumptions!$B$15</f>
        <v>0.91</v>
      </c>
      <c r="C5" s="166" t="n">
        <f aca="false">IF(SUM('Budget P&amp;L'!$B$9:$H$9)=0,0,SUM(B11:H11)/(SUM('Budget P&amp;L'!$B$9:$H$9)/Assumptions!$B$15))</f>
        <v>0.917696611206363</v>
      </c>
      <c r="D5" s="4" t="s">
        <v>553</v>
      </c>
    </row>
    <row r="7" customFormat="false" ht="14.25" hidden="false" customHeight="true" outlineLevel="0" collapsed="false">
      <c r="A7" s="27"/>
      <c r="B7" s="116" t="s">
        <v>356</v>
      </c>
      <c r="C7" s="116" t="s">
        <v>357</v>
      </c>
      <c r="D7" s="116" t="s">
        <v>358</v>
      </c>
      <c r="E7" s="116" t="s">
        <v>359</v>
      </c>
      <c r="F7" s="116" t="s">
        <v>360</v>
      </c>
      <c r="G7" s="116" t="s">
        <v>361</v>
      </c>
      <c r="H7" s="116" t="s">
        <v>362</v>
      </c>
      <c r="I7" s="116" t="s">
        <v>363</v>
      </c>
      <c r="J7" s="116" t="s">
        <v>364</v>
      </c>
      <c r="K7" s="116" t="s">
        <v>365</v>
      </c>
      <c r="L7" s="116" t="s">
        <v>366</v>
      </c>
      <c r="M7" s="116" t="s">
        <v>367</v>
      </c>
      <c r="N7" s="116" t="s">
        <v>554</v>
      </c>
    </row>
    <row r="8" customFormat="false" ht="14.25" hidden="false" customHeight="true" outlineLevel="0" collapsed="false">
      <c r="A8" s="167"/>
      <c r="B8" s="168" t="s">
        <v>555</v>
      </c>
      <c r="C8" s="168" t="s">
        <v>555</v>
      </c>
      <c r="D8" s="168" t="s">
        <v>555</v>
      </c>
      <c r="E8" s="168" t="s">
        <v>555</v>
      </c>
      <c r="F8" s="168" t="s">
        <v>555</v>
      </c>
      <c r="G8" s="168" t="s">
        <v>555</v>
      </c>
      <c r="H8" s="168" t="s">
        <v>555</v>
      </c>
      <c r="I8" s="169" t="s">
        <v>556</v>
      </c>
      <c r="J8" s="169" t="s">
        <v>556</v>
      </c>
      <c r="K8" s="169" t="s">
        <v>556</v>
      </c>
      <c r="L8" s="169" t="s">
        <v>556</v>
      </c>
      <c r="M8" s="169" t="s">
        <v>556</v>
      </c>
      <c r="N8" s="167"/>
    </row>
    <row r="9" customFormat="false" ht="14.25" hidden="false" customHeight="true" outlineLevel="0" collapsed="false">
      <c r="A9" s="28" t="s">
        <v>557</v>
      </c>
      <c r="B9" s="27"/>
      <c r="C9" s="27"/>
      <c r="D9" s="27"/>
      <c r="E9" s="27"/>
      <c r="F9" s="27"/>
      <c r="G9" s="27"/>
      <c r="H9" s="27"/>
      <c r="I9" s="27"/>
      <c r="J9" s="27"/>
      <c r="K9" s="27"/>
      <c r="L9" s="27"/>
      <c r="M9" s="27"/>
      <c r="N9" s="27"/>
    </row>
    <row r="10" customFormat="false" ht="14.25" hidden="false" customHeight="true" outlineLevel="0" collapsed="false">
      <c r="A10" s="25" t="s">
        <v>498</v>
      </c>
      <c r="B10" s="170" t="n">
        <v>0</v>
      </c>
      <c r="C10" s="170" t="n">
        <v>46.75</v>
      </c>
      <c r="D10" s="170" t="n">
        <v>21</v>
      </c>
      <c r="E10" s="170" t="n">
        <v>0</v>
      </c>
      <c r="F10" s="170" t="n">
        <v>2294</v>
      </c>
      <c r="G10" s="170" t="n">
        <v>-418</v>
      </c>
      <c r="H10" s="170" t="n">
        <v>-152.69</v>
      </c>
      <c r="I10" s="114" t="n">
        <f aca="false">'Budget P&amp;L'!I8</f>
        <v>0</v>
      </c>
      <c r="J10" s="114" t="n">
        <f aca="false">'Budget P&amp;L'!J8</f>
        <v>0</v>
      </c>
      <c r="K10" s="114" t="n">
        <f aca="false">'Budget P&amp;L'!K8</f>
        <v>0</v>
      </c>
      <c r="L10" s="114" t="n">
        <f aca="false">'Budget P&amp;L'!L8</f>
        <v>0</v>
      </c>
      <c r="M10" s="114" t="n">
        <f aca="false">'Budget P&amp;L'!M8</f>
        <v>0</v>
      </c>
      <c r="N10" s="88" t="n">
        <f aca="false">SUM(B10:M10)</f>
        <v>1791.06</v>
      </c>
    </row>
    <row r="11" customFormat="false" ht="14.25" hidden="false" customHeight="true" outlineLevel="0" collapsed="false">
      <c r="A11" s="25" t="s">
        <v>500</v>
      </c>
      <c r="B11" s="170" t="n">
        <v>64981.75</v>
      </c>
      <c r="C11" s="170" t="n">
        <v>55772</v>
      </c>
      <c r="D11" s="170" t="n">
        <v>103377.75</v>
      </c>
      <c r="E11" s="170" t="n">
        <v>88464.25</v>
      </c>
      <c r="F11" s="170" t="n">
        <v>97011.45</v>
      </c>
      <c r="G11" s="170" t="n">
        <v>104042</v>
      </c>
      <c r="H11" s="170" t="n">
        <v>177147.55</v>
      </c>
      <c r="I11" s="114" t="n">
        <f aca="false">'Budget P&amp;L'!I9</f>
        <v>99349.1821919444</v>
      </c>
      <c r="J11" s="114" t="n">
        <f aca="false">'Budget P&amp;L'!J9</f>
        <v>102349.182191944</v>
      </c>
      <c r="K11" s="114" t="n">
        <f aca="false">'Budget P&amp;L'!K9</f>
        <v>122685.829730407</v>
      </c>
      <c r="L11" s="114" t="n">
        <f aca="false">'Budget P&amp;L'!L9</f>
        <v>113835.138886455</v>
      </c>
      <c r="M11" s="114" t="n">
        <f aca="false">'Budget P&amp;L'!M9</f>
        <v>122760.484308431</v>
      </c>
      <c r="N11" s="88" t="n">
        <f aca="false">SUM(B11:M11)</f>
        <v>1251776.56730918</v>
      </c>
    </row>
    <row r="12" customFormat="false" ht="14.25" hidden="false" customHeight="true" outlineLevel="0" collapsed="false">
      <c r="A12" s="25" t="s">
        <v>558</v>
      </c>
      <c r="B12" s="170" t="n">
        <v>-154.75</v>
      </c>
      <c r="C12" s="170" t="n">
        <v>0</v>
      </c>
      <c r="D12" s="170" t="n">
        <v>0</v>
      </c>
      <c r="E12" s="170" t="n">
        <v>1000</v>
      </c>
      <c r="F12" s="170" t="n">
        <v>875</v>
      </c>
      <c r="G12" s="170" t="n">
        <v>-1500</v>
      </c>
      <c r="H12" s="170" t="n">
        <v>-375</v>
      </c>
      <c r="I12" s="85" t="n">
        <v>0</v>
      </c>
      <c r="J12" s="85" t="n">
        <v>0</v>
      </c>
      <c r="K12" s="85" t="n">
        <v>0</v>
      </c>
      <c r="L12" s="85" t="n">
        <v>0</v>
      </c>
      <c r="M12" s="85" t="n">
        <v>0</v>
      </c>
      <c r="N12" s="88" t="n">
        <f aca="false">SUM(B12:M12)</f>
        <v>-154.75</v>
      </c>
    </row>
    <row r="13" customFormat="false" ht="14.25" hidden="false" customHeight="true" outlineLevel="0" collapsed="false">
      <c r="A13" s="87" t="s">
        <v>559</v>
      </c>
      <c r="B13" s="88" t="n">
        <f aca="false">SUM(B10:B12)</f>
        <v>64827</v>
      </c>
      <c r="C13" s="88" t="n">
        <f aca="false">SUM(C10:C12)</f>
        <v>55818.75</v>
      </c>
      <c r="D13" s="88" t="n">
        <f aca="false">SUM(D10:D12)</f>
        <v>103398.75</v>
      </c>
      <c r="E13" s="88" t="n">
        <f aca="false">SUM(E10:E12)</f>
        <v>89464.25</v>
      </c>
      <c r="F13" s="88" t="n">
        <f aca="false">SUM(F10:F12)</f>
        <v>100180.45</v>
      </c>
      <c r="G13" s="88" t="n">
        <f aca="false">SUM(G10:G12)</f>
        <v>102124</v>
      </c>
      <c r="H13" s="88" t="n">
        <f aca="false">SUM(H10:H12)</f>
        <v>176619.86</v>
      </c>
      <c r="I13" s="88" t="n">
        <f aca="false">SUM(I10:I12)</f>
        <v>99349.1821919444</v>
      </c>
      <c r="J13" s="88" t="n">
        <f aca="false">SUM(J10:J12)</f>
        <v>102349.182191944</v>
      </c>
      <c r="K13" s="88" t="n">
        <f aca="false">SUM(K10:K12)</f>
        <v>122685.829730407</v>
      </c>
      <c r="L13" s="88" t="n">
        <f aca="false">SUM(L10:L12)</f>
        <v>113835.138886455</v>
      </c>
      <c r="M13" s="88" t="n">
        <f aca="false">SUM(M10:M12)</f>
        <v>122760.484308431</v>
      </c>
      <c r="N13" s="88" t="n">
        <f aca="false">SUM(N10:N12)</f>
        <v>1253412.87730918</v>
      </c>
    </row>
    <row r="14" customFormat="false" ht="14.25" hidden="false" customHeight="true" outlineLevel="0" collapsed="false">
      <c r="A14" s="28" t="s">
        <v>560</v>
      </c>
      <c r="B14" s="27"/>
      <c r="C14" s="27"/>
      <c r="D14" s="27"/>
      <c r="E14" s="27"/>
      <c r="F14" s="27"/>
      <c r="G14" s="27"/>
      <c r="H14" s="27"/>
      <c r="I14" s="27"/>
      <c r="J14" s="27"/>
      <c r="K14" s="27"/>
      <c r="L14" s="27"/>
      <c r="M14" s="27"/>
      <c r="N14" s="27"/>
    </row>
    <row r="15" customFormat="false" ht="14.25" hidden="false" customHeight="true" outlineLevel="0" collapsed="false">
      <c r="A15" s="25" t="s">
        <v>504</v>
      </c>
      <c r="B15" s="170" t="n">
        <v>1498.5</v>
      </c>
      <c r="C15" s="170" t="n">
        <v>430</v>
      </c>
      <c r="D15" s="170" t="n">
        <v>355.5</v>
      </c>
      <c r="E15" s="170" t="n">
        <v>1089.5</v>
      </c>
      <c r="F15" s="170" t="n">
        <v>0</v>
      </c>
      <c r="G15" s="170" t="n">
        <v>0</v>
      </c>
      <c r="H15" s="170" t="n">
        <v>0</v>
      </c>
      <c r="I15" s="114" t="n">
        <f aca="false">'Budget P&amp;L'!I12</f>
        <v>4200</v>
      </c>
      <c r="J15" s="114" t="n">
        <f aca="false">'Budget P&amp;L'!J12</f>
        <v>4200</v>
      </c>
      <c r="K15" s="114" t="n">
        <f aca="false">'Budget P&amp;L'!K12</f>
        <v>4200</v>
      </c>
      <c r="L15" s="114" t="n">
        <f aca="false">'Budget P&amp;L'!L12</f>
        <v>4200</v>
      </c>
      <c r="M15" s="114" t="n">
        <f aca="false">'Budget P&amp;L'!M12</f>
        <v>4200</v>
      </c>
      <c r="N15" s="88" t="n">
        <f aca="false">SUM(B15:M15)</f>
        <v>24373.5</v>
      </c>
    </row>
    <row r="16" customFormat="false" ht="14.25" hidden="false" customHeight="true" outlineLevel="0" collapsed="false">
      <c r="A16" s="25" t="s">
        <v>506</v>
      </c>
      <c r="B16" s="170" t="n">
        <v>94.5</v>
      </c>
      <c r="C16" s="170" t="n">
        <v>0</v>
      </c>
      <c r="D16" s="170" t="n">
        <v>13.2</v>
      </c>
      <c r="E16" s="170" t="n">
        <v>63.2</v>
      </c>
      <c r="F16" s="170" t="n">
        <v>0</v>
      </c>
      <c r="G16" s="170" t="n">
        <v>0</v>
      </c>
      <c r="H16" s="170" t="n">
        <v>0</v>
      </c>
      <c r="I16" s="114" t="n">
        <f aca="false">'Budget P&amp;L'!I13</f>
        <v>28.48</v>
      </c>
      <c r="J16" s="114" t="n">
        <f aca="false">'Budget P&amp;L'!J13</f>
        <v>28.48</v>
      </c>
      <c r="K16" s="114" t="n">
        <f aca="false">'Budget P&amp;L'!K13</f>
        <v>28.48</v>
      </c>
      <c r="L16" s="114" t="n">
        <f aca="false">'Budget P&amp;L'!L13</f>
        <v>28.48</v>
      </c>
      <c r="M16" s="114" t="n">
        <f aca="false">'Budget P&amp;L'!M13</f>
        <v>28.48</v>
      </c>
      <c r="N16" s="88" t="n">
        <f aca="false">SUM(B16:M16)</f>
        <v>313.3</v>
      </c>
    </row>
    <row r="17" customFormat="false" ht="14.25" hidden="false" customHeight="true" outlineLevel="0" collapsed="false">
      <c r="A17" s="25" t="s">
        <v>561</v>
      </c>
      <c r="B17" s="170" t="n">
        <v>0</v>
      </c>
      <c r="C17" s="170" t="n">
        <v>435</v>
      </c>
      <c r="D17" s="170" t="n">
        <v>435</v>
      </c>
      <c r="E17" s="170" t="n">
        <v>435</v>
      </c>
      <c r="F17" s="170" t="n">
        <v>870</v>
      </c>
      <c r="G17" s="170" t="n">
        <v>435</v>
      </c>
      <c r="H17" s="170" t="n">
        <v>0</v>
      </c>
      <c r="I17" s="114" t="n">
        <f aca="false">'Budget P&amp;L'!I15</f>
        <v>0</v>
      </c>
      <c r="J17" s="114" t="n">
        <f aca="false">'Budget P&amp;L'!J15</f>
        <v>8852.8</v>
      </c>
      <c r="K17" s="114" t="n">
        <f aca="false">'Budget P&amp;L'!K15</f>
        <v>0</v>
      </c>
      <c r="L17" s="114" t="n">
        <f aca="false">'Budget P&amp;L'!L15</f>
        <v>0</v>
      </c>
      <c r="M17" s="114" t="n">
        <f aca="false">'Budget P&amp;L'!M15</f>
        <v>8852.8</v>
      </c>
      <c r="N17" s="88" t="n">
        <f aca="false">SUM(B17:M17)</f>
        <v>20315.6</v>
      </c>
    </row>
    <row r="18" customFormat="false" ht="14.25" hidden="false" customHeight="true" outlineLevel="0" collapsed="false">
      <c r="A18" s="25" t="s">
        <v>562</v>
      </c>
      <c r="B18" s="170" t="n">
        <v>4320</v>
      </c>
      <c r="C18" s="170" t="n">
        <v>0</v>
      </c>
      <c r="D18" s="170" t="n">
        <v>0</v>
      </c>
      <c r="E18" s="170" t="n">
        <v>0</v>
      </c>
      <c r="F18" s="170" t="n">
        <v>280</v>
      </c>
      <c r="G18" s="170" t="n">
        <v>760</v>
      </c>
      <c r="H18" s="170" t="n">
        <v>760</v>
      </c>
      <c r="I18" s="114" t="n">
        <f aca="false">'Budget P&amp;L'!I16</f>
        <v>0</v>
      </c>
      <c r="J18" s="114" t="n">
        <f aca="false">'Budget P&amp;L'!J16</f>
        <v>0</v>
      </c>
      <c r="K18" s="114" t="n">
        <f aca="false">'Budget P&amp;L'!K16</f>
        <v>0</v>
      </c>
      <c r="L18" s="114" t="n">
        <f aca="false">'Budget P&amp;L'!L16</f>
        <v>0</v>
      </c>
      <c r="M18" s="114" t="n">
        <f aca="false">'Budget P&amp;L'!M16</f>
        <v>0</v>
      </c>
      <c r="N18" s="88" t="n">
        <f aca="false">SUM(B18:M18)</f>
        <v>6120</v>
      </c>
    </row>
    <row r="19" customFormat="false" ht="14.25" hidden="false" customHeight="true" outlineLevel="0" collapsed="false">
      <c r="A19" s="25" t="s">
        <v>563</v>
      </c>
      <c r="B19" s="170" t="n">
        <v>18160.3</v>
      </c>
      <c r="C19" s="170" t="n">
        <v>33566.6</v>
      </c>
      <c r="D19" s="170" t="n">
        <v>37053.6</v>
      </c>
      <c r="E19" s="170" t="n">
        <v>33728.59</v>
      </c>
      <c r="F19" s="170" t="n">
        <v>46769.76</v>
      </c>
      <c r="G19" s="170" t="n">
        <v>64034.11</v>
      </c>
      <c r="H19" s="170" t="n">
        <v>91281.34</v>
      </c>
      <c r="I19" s="114" t="n">
        <f aca="false">'Budget P&amp;L'!I17</f>
        <v>40154.1666666667</v>
      </c>
      <c r="J19" s="114" t="n">
        <f aca="false">'Budget P&amp;L'!J17</f>
        <v>40954.1666666667</v>
      </c>
      <c r="K19" s="114" t="n">
        <f aca="false">'Budget P&amp;L'!K17</f>
        <v>48579.375</v>
      </c>
      <c r="L19" s="114" t="n">
        <f aca="false">'Budget P&amp;L'!L17</f>
        <v>47779.375</v>
      </c>
      <c r="M19" s="114" t="n">
        <f aca="false">'Budget P&amp;L'!M17</f>
        <v>49379.375</v>
      </c>
      <c r="N19" s="88" t="n">
        <f aca="false">SUM(B19:M19)</f>
        <v>551440.758333333</v>
      </c>
    </row>
    <row r="20" customFormat="false" ht="14.25" hidden="false" customHeight="true" outlineLevel="0" collapsed="false">
      <c r="A20" s="25" t="s">
        <v>564</v>
      </c>
      <c r="B20" s="170" t="n">
        <v>2271.72</v>
      </c>
      <c r="C20" s="170" t="n">
        <v>2808.37</v>
      </c>
      <c r="D20" s="170" t="n">
        <v>2893.57</v>
      </c>
      <c r="E20" s="170" t="n">
        <v>2750.47</v>
      </c>
      <c r="F20" s="170" t="n">
        <v>3979.19</v>
      </c>
      <c r="G20" s="170" t="n">
        <v>5164.66</v>
      </c>
      <c r="H20" s="170" t="n">
        <v>7041.14</v>
      </c>
      <c r="I20" s="114" t="n">
        <f aca="false">'Budget P&amp;L'!I18</f>
        <v>3164.29208333333</v>
      </c>
      <c r="J20" s="114" t="n">
        <f aca="false">'Budget P&amp;L'!J18</f>
        <v>3841.53128333333</v>
      </c>
      <c r="K20" s="114" t="n">
        <f aca="false">'Budget P&amp;L'!K18</f>
        <v>3164.29208333333</v>
      </c>
      <c r="L20" s="114" t="n">
        <f aca="false">'Budget P&amp;L'!L18</f>
        <v>3164.29208333333</v>
      </c>
      <c r="M20" s="114" t="n">
        <f aca="false">'Budget P&amp;L'!M18</f>
        <v>3841.53128333333</v>
      </c>
      <c r="N20" s="88" t="n">
        <f aca="false">SUM(B20:M20)</f>
        <v>44085.0588166667</v>
      </c>
    </row>
    <row r="21" customFormat="false" ht="14.25" hidden="false" customHeight="true" outlineLevel="0" collapsed="false">
      <c r="A21" s="25" t="s">
        <v>565</v>
      </c>
      <c r="B21" s="170" t="n">
        <v>0</v>
      </c>
      <c r="C21" s="170" t="n">
        <v>0</v>
      </c>
      <c r="D21" s="170" t="n">
        <v>0</v>
      </c>
      <c r="E21" s="170" t="n">
        <v>0</v>
      </c>
      <c r="F21" s="170" t="n">
        <v>0</v>
      </c>
      <c r="G21" s="170" t="n">
        <v>0</v>
      </c>
      <c r="H21" s="170" t="n">
        <v>0</v>
      </c>
      <c r="I21" s="114" t="n">
        <f aca="false">'Budget P&amp;L'!I19</f>
        <v>0</v>
      </c>
      <c r="J21" s="114" t="n">
        <f aca="false">'Budget P&amp;L'!J19</f>
        <v>0</v>
      </c>
      <c r="K21" s="114" t="n">
        <f aca="false">'Budget P&amp;L'!K19</f>
        <v>0</v>
      </c>
      <c r="L21" s="114" t="n">
        <f aca="false">'Budget P&amp;L'!L19</f>
        <v>5327.5145</v>
      </c>
      <c r="M21" s="114" t="n">
        <f aca="false">'Budget P&amp;L'!M19</f>
        <v>5327.5145</v>
      </c>
      <c r="N21" s="88" t="n">
        <f aca="false">SUM(B21:M21)</f>
        <v>10655.029</v>
      </c>
    </row>
    <row r="22" customFormat="false" ht="14.25" hidden="false" customHeight="true" outlineLevel="0" collapsed="false">
      <c r="A22" s="87" t="s">
        <v>566</v>
      </c>
      <c r="B22" s="88" t="n">
        <f aca="false">SUM(B15:B21)</f>
        <v>26345.02</v>
      </c>
      <c r="C22" s="88" t="n">
        <f aca="false">SUM(C15:C21)</f>
        <v>37239.97</v>
      </c>
      <c r="D22" s="88" t="n">
        <f aca="false">SUM(D15:D21)</f>
        <v>40750.87</v>
      </c>
      <c r="E22" s="88" t="n">
        <f aca="false">SUM(E15:E21)</f>
        <v>38066.76</v>
      </c>
      <c r="F22" s="88" t="n">
        <f aca="false">SUM(F15:F21)</f>
        <v>51898.95</v>
      </c>
      <c r="G22" s="88" t="n">
        <f aca="false">SUM(G15:G21)</f>
        <v>70393.77</v>
      </c>
      <c r="H22" s="88" t="n">
        <f aca="false">SUM(H15:H21)</f>
        <v>99082.48</v>
      </c>
      <c r="I22" s="88" t="n">
        <f aca="false">SUM(I15:I21)</f>
        <v>47546.93875</v>
      </c>
      <c r="J22" s="88" t="n">
        <f aca="false">SUM(J15:J21)</f>
        <v>57876.97795</v>
      </c>
      <c r="K22" s="88" t="n">
        <f aca="false">SUM(K15:K21)</f>
        <v>55972.1470833333</v>
      </c>
      <c r="L22" s="88" t="n">
        <f aca="false">SUM(L15:L21)</f>
        <v>60499.6615833333</v>
      </c>
      <c r="M22" s="88" t="n">
        <f aca="false">SUM(M15:M21)</f>
        <v>71629.7007833333</v>
      </c>
      <c r="N22" s="88" t="n">
        <f aca="false">SUM(N15:N21)</f>
        <v>657303.24615</v>
      </c>
    </row>
    <row r="23" customFormat="false" ht="14.25" hidden="false" customHeight="true" outlineLevel="0" collapsed="false">
      <c r="A23" s="23" t="s">
        <v>567</v>
      </c>
      <c r="B23" s="86" t="n">
        <f aca="false">B13-B22</f>
        <v>38481.98</v>
      </c>
      <c r="C23" s="86" t="n">
        <f aca="false">C13-C22</f>
        <v>18578.78</v>
      </c>
      <c r="D23" s="86" t="n">
        <f aca="false">D13-D22</f>
        <v>62647.88</v>
      </c>
      <c r="E23" s="86" t="n">
        <f aca="false">E13-E22</f>
        <v>51397.49</v>
      </c>
      <c r="F23" s="86" t="n">
        <f aca="false">F13-F22</f>
        <v>48281.5</v>
      </c>
      <c r="G23" s="86" t="n">
        <f aca="false">G13-G22</f>
        <v>31730.23</v>
      </c>
      <c r="H23" s="86" t="n">
        <f aca="false">H13-H22</f>
        <v>77537.38</v>
      </c>
      <c r="I23" s="86" t="n">
        <f aca="false">I13-I22</f>
        <v>51802.2434419443</v>
      </c>
      <c r="J23" s="86" t="n">
        <f aca="false">J13-J22</f>
        <v>44472.2042419444</v>
      </c>
      <c r="K23" s="86" t="n">
        <f aca="false">K13-K22</f>
        <v>66713.6826470736</v>
      </c>
      <c r="L23" s="86" t="n">
        <f aca="false">L13-L22</f>
        <v>53335.4773031215</v>
      </c>
      <c r="M23" s="86" t="n">
        <f aca="false">M13-M22</f>
        <v>51130.7835250976</v>
      </c>
      <c r="N23" s="86" t="n">
        <f aca="false">N13-N22</f>
        <v>596109.631159182</v>
      </c>
    </row>
    <row r="24" customFormat="false" ht="14.25" hidden="false" customHeight="true" outlineLevel="0" collapsed="false">
      <c r="A24" s="28" t="s">
        <v>568</v>
      </c>
      <c r="B24" s="27"/>
      <c r="C24" s="27"/>
      <c r="D24" s="27"/>
      <c r="E24" s="27"/>
      <c r="F24" s="27"/>
      <c r="G24" s="27"/>
      <c r="H24" s="27"/>
      <c r="I24" s="27"/>
      <c r="J24" s="27"/>
      <c r="K24" s="27"/>
      <c r="L24" s="27"/>
      <c r="M24" s="27"/>
      <c r="N24" s="27"/>
    </row>
    <row r="25" customFormat="false" ht="14.25" hidden="false" customHeight="true" outlineLevel="0" collapsed="false">
      <c r="A25" s="25" t="s">
        <v>523</v>
      </c>
      <c r="B25" s="170" t="n">
        <v>0</v>
      </c>
      <c r="C25" s="170" t="n">
        <v>0</v>
      </c>
      <c r="D25" s="170" t="n">
        <v>0</v>
      </c>
      <c r="E25" s="170" t="n">
        <v>0</v>
      </c>
      <c r="F25" s="170" t="n">
        <v>0</v>
      </c>
      <c r="G25" s="170" t="n">
        <v>0</v>
      </c>
      <c r="H25" s="170" t="n">
        <v>0</v>
      </c>
      <c r="I25" s="114" t="n">
        <f aca="false">'Budget P&amp;L'!I24</f>
        <v>7687.5</v>
      </c>
      <c r="J25" s="114" t="n">
        <f aca="false">'Budget P&amp;L'!J24</f>
        <v>7687.5</v>
      </c>
      <c r="K25" s="114" t="n">
        <f aca="false">'Budget P&amp;L'!K24</f>
        <v>7687.5</v>
      </c>
      <c r="L25" s="114" t="n">
        <f aca="false">'Budget P&amp;L'!L24</f>
        <v>7687.5</v>
      </c>
      <c r="M25" s="114" t="n">
        <f aca="false">'Budget P&amp;L'!M24</f>
        <v>7687.5</v>
      </c>
      <c r="N25" s="88" t="n">
        <f aca="false">SUM(B25:M25)</f>
        <v>38437.5</v>
      </c>
    </row>
    <row r="26" customFormat="false" ht="14.25" hidden="false" customHeight="true" outlineLevel="0" collapsed="false">
      <c r="A26" s="25" t="s">
        <v>525</v>
      </c>
      <c r="B26" s="170" t="n">
        <v>0</v>
      </c>
      <c r="C26" s="170" t="n">
        <v>0</v>
      </c>
      <c r="D26" s="170" t="n">
        <v>0</v>
      </c>
      <c r="E26" s="170" t="n">
        <v>0</v>
      </c>
      <c r="F26" s="170" t="n">
        <v>0</v>
      </c>
      <c r="G26" s="170" t="n">
        <v>0</v>
      </c>
      <c r="H26" s="170" t="n">
        <v>0</v>
      </c>
      <c r="I26" s="114" t="n">
        <f aca="false">'Budget P&amp;L'!I25</f>
        <v>5666.66666666667</v>
      </c>
      <c r="J26" s="114" t="n">
        <f aca="false">'Budget P&amp;L'!J25</f>
        <v>5666.66666666667</v>
      </c>
      <c r="K26" s="114" t="n">
        <f aca="false">'Budget P&amp;L'!K25</f>
        <v>5666.66666666667</v>
      </c>
      <c r="L26" s="114" t="n">
        <f aca="false">'Budget P&amp;L'!L25</f>
        <v>5666.66666666667</v>
      </c>
      <c r="M26" s="114" t="n">
        <f aca="false">'Budget P&amp;L'!M25</f>
        <v>5666.66666666667</v>
      </c>
      <c r="N26" s="88" t="n">
        <f aca="false">SUM(B26:M26)</f>
        <v>28333.3333333333</v>
      </c>
    </row>
    <row r="27" customFormat="false" ht="14.25" hidden="false" customHeight="true" outlineLevel="0" collapsed="false">
      <c r="A27" s="25" t="s">
        <v>527</v>
      </c>
      <c r="B27" s="170" t="n">
        <v>0</v>
      </c>
      <c r="C27" s="170" t="n">
        <v>0</v>
      </c>
      <c r="D27" s="170" t="n">
        <v>0</v>
      </c>
      <c r="E27" s="170" t="n">
        <v>0</v>
      </c>
      <c r="F27" s="170" t="n">
        <v>0</v>
      </c>
      <c r="G27" s="170" t="n">
        <v>0</v>
      </c>
      <c r="H27" s="170" t="n">
        <v>0</v>
      </c>
      <c r="I27" s="114" t="n">
        <f aca="false">'Budget P&amp;L'!I26</f>
        <v>1038.82875</v>
      </c>
      <c r="J27" s="114" t="n">
        <f aca="false">'Budget P&amp;L'!J26</f>
        <v>1038.82875</v>
      </c>
      <c r="K27" s="114" t="n">
        <f aca="false">'Budget P&amp;L'!K26</f>
        <v>1038.82875</v>
      </c>
      <c r="L27" s="114" t="n">
        <f aca="false">'Budget P&amp;L'!L26</f>
        <v>1038.82875</v>
      </c>
      <c r="M27" s="114" t="n">
        <f aca="false">'Budget P&amp;L'!M26</f>
        <v>1038.82875</v>
      </c>
      <c r="N27" s="88" t="n">
        <f aca="false">SUM(B27:M27)</f>
        <v>5194.14375</v>
      </c>
    </row>
    <row r="28" customFormat="false" ht="14.25" hidden="false" customHeight="true" outlineLevel="0" collapsed="false">
      <c r="A28" s="25" t="s">
        <v>528</v>
      </c>
      <c r="B28" s="170" t="n">
        <v>0</v>
      </c>
      <c r="C28" s="170" t="n">
        <v>0</v>
      </c>
      <c r="D28" s="170" t="n">
        <v>0</v>
      </c>
      <c r="E28" s="170" t="n">
        <v>0</v>
      </c>
      <c r="F28" s="170" t="n">
        <v>0</v>
      </c>
      <c r="G28" s="170" t="n">
        <v>0</v>
      </c>
      <c r="H28" s="170" t="n">
        <v>0</v>
      </c>
      <c r="I28" s="114" t="n">
        <f aca="false">'Budget P&amp;L'!I27</f>
        <v>0</v>
      </c>
      <c r="J28" s="114" t="n">
        <f aca="false">'Budget P&amp;L'!J27</f>
        <v>0</v>
      </c>
      <c r="K28" s="114" t="n">
        <f aca="false">'Budget P&amp;L'!K27</f>
        <v>0</v>
      </c>
      <c r="L28" s="114" t="n">
        <f aca="false">'Budget P&amp;L'!L27</f>
        <v>1639.1855</v>
      </c>
      <c r="M28" s="114" t="n">
        <f aca="false">'Budget P&amp;L'!M27</f>
        <v>1639.1855</v>
      </c>
      <c r="N28" s="88" t="n">
        <f aca="false">SUM(B28:M28)</f>
        <v>3278.371</v>
      </c>
    </row>
    <row r="29" customFormat="false" ht="14.25" hidden="false" customHeight="true" outlineLevel="0" collapsed="false">
      <c r="A29" s="25" t="s">
        <v>529</v>
      </c>
      <c r="B29" s="170" t="n">
        <v>0</v>
      </c>
      <c r="C29" s="170" t="n">
        <v>0</v>
      </c>
      <c r="D29" s="170" t="n">
        <v>0</v>
      </c>
      <c r="E29" s="170" t="n">
        <v>0</v>
      </c>
      <c r="F29" s="170" t="n">
        <v>0</v>
      </c>
      <c r="G29" s="170" t="n">
        <v>338</v>
      </c>
      <c r="H29" s="170" t="n">
        <v>590.36</v>
      </c>
      <c r="I29" s="114" t="n">
        <f aca="false">'Budget P&amp;L'!I28</f>
        <v>56.33</v>
      </c>
      <c r="J29" s="114" t="n">
        <f aca="false">'Budget P&amp;L'!J28</f>
        <v>56.33</v>
      </c>
      <c r="K29" s="114" t="n">
        <f aca="false">'Budget P&amp;L'!K28</f>
        <v>56.33</v>
      </c>
      <c r="L29" s="114" t="n">
        <f aca="false">'Budget P&amp;L'!L28</f>
        <v>56.33</v>
      </c>
      <c r="M29" s="114" t="n">
        <f aca="false">'Budget P&amp;L'!M28</f>
        <v>56.33</v>
      </c>
      <c r="N29" s="88" t="n">
        <f aca="false">SUM(B29:M29)</f>
        <v>1210.01</v>
      </c>
    </row>
    <row r="30" customFormat="false" ht="14.25" hidden="false" customHeight="true" outlineLevel="0" collapsed="false">
      <c r="A30" s="25" t="s">
        <v>531</v>
      </c>
      <c r="B30" s="170" t="n">
        <v>9.6</v>
      </c>
      <c r="C30" s="170" t="n">
        <v>5</v>
      </c>
      <c r="D30" s="170" t="n">
        <v>4</v>
      </c>
      <c r="E30" s="170" t="n">
        <v>48.99</v>
      </c>
      <c r="F30" s="170" t="n">
        <v>71.42</v>
      </c>
      <c r="G30" s="170" t="n">
        <v>73.52</v>
      </c>
      <c r="H30" s="170" t="n">
        <v>68.63</v>
      </c>
      <c r="I30" s="114" t="n">
        <f aca="false">'Budget P&amp;L'!I29</f>
        <v>35.42</v>
      </c>
      <c r="J30" s="114" t="n">
        <f aca="false">'Budget P&amp;L'!J29</f>
        <v>35.42</v>
      </c>
      <c r="K30" s="114" t="n">
        <f aca="false">'Budget P&amp;L'!K29</f>
        <v>35.42</v>
      </c>
      <c r="L30" s="114" t="n">
        <f aca="false">'Budget P&amp;L'!L29</f>
        <v>35.42</v>
      </c>
      <c r="M30" s="114" t="n">
        <f aca="false">'Budget P&amp;L'!M29</f>
        <v>35.42</v>
      </c>
      <c r="N30" s="88" t="n">
        <f aca="false">SUM(B30:M30)</f>
        <v>458.26</v>
      </c>
    </row>
    <row r="31" customFormat="false" ht="14.25" hidden="false" customHeight="true" outlineLevel="0" collapsed="false">
      <c r="A31" s="25" t="s">
        <v>532</v>
      </c>
      <c r="B31" s="170" t="n">
        <v>100</v>
      </c>
      <c r="C31" s="170" t="n">
        <v>100</v>
      </c>
      <c r="D31" s="170" t="n">
        <v>100</v>
      </c>
      <c r="E31" s="170" t="n">
        <v>100</v>
      </c>
      <c r="F31" s="170" t="n">
        <v>185</v>
      </c>
      <c r="G31" s="170" t="n">
        <v>122.99</v>
      </c>
      <c r="H31" s="170" t="n">
        <v>252.57</v>
      </c>
      <c r="I31" s="114" t="n">
        <f aca="false">'Budget P&amp;L'!I30</f>
        <v>118</v>
      </c>
      <c r="J31" s="114" t="n">
        <f aca="false">'Budget P&amp;L'!J30</f>
        <v>118</v>
      </c>
      <c r="K31" s="114" t="n">
        <f aca="false">'Budget P&amp;L'!K30</f>
        <v>118</v>
      </c>
      <c r="L31" s="114" t="n">
        <f aca="false">'Budget P&amp;L'!L30</f>
        <v>118</v>
      </c>
      <c r="M31" s="114" t="n">
        <f aca="false">'Budget P&amp;L'!M30</f>
        <v>118</v>
      </c>
      <c r="N31" s="88" t="n">
        <f aca="false">SUM(B31:M31)</f>
        <v>1550.56</v>
      </c>
    </row>
    <row r="32" customFormat="false" ht="14.25" hidden="false" customHeight="true" outlineLevel="0" collapsed="false">
      <c r="A32" s="25" t="s">
        <v>533</v>
      </c>
      <c r="B32" s="170" t="n">
        <v>148.98</v>
      </c>
      <c r="C32" s="170" t="n">
        <v>163.14</v>
      </c>
      <c r="D32" s="170" t="n">
        <v>203.88</v>
      </c>
      <c r="E32" s="170" t="n">
        <v>171.34</v>
      </c>
      <c r="F32" s="170" t="n">
        <v>168.44</v>
      </c>
      <c r="G32" s="170" t="n">
        <v>174.18</v>
      </c>
      <c r="H32" s="170" t="n">
        <v>194.18</v>
      </c>
      <c r="I32" s="114" t="n">
        <f aca="false">'Budget P&amp;L'!I31</f>
        <v>171.66</v>
      </c>
      <c r="J32" s="114" t="n">
        <f aca="false">'Budget P&amp;L'!J31</f>
        <v>171.66</v>
      </c>
      <c r="K32" s="114" t="n">
        <f aca="false">'Budget P&amp;L'!K31</f>
        <v>171.66</v>
      </c>
      <c r="L32" s="114" t="n">
        <f aca="false">'Budget P&amp;L'!L31</f>
        <v>171.66</v>
      </c>
      <c r="M32" s="114" t="n">
        <f aca="false">'Budget P&amp;L'!M31</f>
        <v>171.66</v>
      </c>
      <c r="N32" s="88" t="n">
        <f aca="false">SUM(B32:M32)</f>
        <v>2082.44</v>
      </c>
    </row>
    <row r="33" customFormat="false" ht="14.25" hidden="false" customHeight="true" outlineLevel="0" collapsed="false">
      <c r="A33" s="25" t="s">
        <v>534</v>
      </c>
      <c r="B33" s="170" t="n">
        <v>0</v>
      </c>
      <c r="C33" s="170" t="n">
        <v>0</v>
      </c>
      <c r="D33" s="170" t="n">
        <v>0</v>
      </c>
      <c r="E33" s="170" t="n">
        <v>0</v>
      </c>
      <c r="F33" s="170" t="n">
        <v>0</v>
      </c>
      <c r="G33" s="170" t="n">
        <v>0</v>
      </c>
      <c r="H33" s="170" t="n">
        <v>0</v>
      </c>
      <c r="I33" s="114" t="n">
        <f aca="false">'Budget P&amp;L'!I32</f>
        <v>1150</v>
      </c>
      <c r="J33" s="114" t="n">
        <f aca="false">'Budget P&amp;L'!J32</f>
        <v>1150</v>
      </c>
      <c r="K33" s="114" t="n">
        <f aca="false">'Budget P&amp;L'!K32</f>
        <v>1150</v>
      </c>
      <c r="L33" s="114" t="n">
        <f aca="false">'Budget P&amp;L'!L32</f>
        <v>1150</v>
      </c>
      <c r="M33" s="114" t="n">
        <f aca="false">'Budget P&amp;L'!M32</f>
        <v>1150</v>
      </c>
      <c r="N33" s="88" t="n">
        <f aca="false">SUM(B33:M33)</f>
        <v>5750</v>
      </c>
    </row>
    <row r="34" customFormat="false" ht="14.25" hidden="false" customHeight="true" outlineLevel="0" collapsed="false">
      <c r="A34" s="25" t="s">
        <v>535</v>
      </c>
      <c r="B34" s="170" t="n">
        <v>399.75</v>
      </c>
      <c r="C34" s="170" t="n">
        <v>293.25</v>
      </c>
      <c r="D34" s="170" t="n">
        <v>1471.25</v>
      </c>
      <c r="E34" s="170" t="n">
        <v>0</v>
      </c>
      <c r="F34" s="170" t="n">
        <v>3419.63</v>
      </c>
      <c r="G34" s="170" t="n">
        <v>5300</v>
      </c>
      <c r="H34" s="170" t="n">
        <v>5200</v>
      </c>
      <c r="I34" s="114" t="n">
        <f aca="false">'Budget P&amp;L'!I33</f>
        <v>1813.98</v>
      </c>
      <c r="J34" s="114" t="n">
        <f aca="false">'Budget P&amp;L'!J33</f>
        <v>1813.98</v>
      </c>
      <c r="K34" s="114" t="n">
        <f aca="false">'Budget P&amp;L'!K33</f>
        <v>1813.98</v>
      </c>
      <c r="L34" s="114" t="n">
        <f aca="false">'Budget P&amp;L'!L33</f>
        <v>1813.98</v>
      </c>
      <c r="M34" s="114" t="n">
        <f aca="false">'Budget P&amp;L'!M33</f>
        <v>1813.98</v>
      </c>
      <c r="N34" s="88" t="n">
        <f aca="false">SUM(B34:M34)</f>
        <v>25153.78</v>
      </c>
    </row>
    <row r="35" customFormat="false" ht="14.25" hidden="false" customHeight="true" outlineLevel="0" collapsed="false">
      <c r="A35" s="25" t="s">
        <v>536</v>
      </c>
      <c r="B35" s="170" t="n">
        <v>539.3</v>
      </c>
      <c r="C35" s="170" t="n">
        <v>439.55</v>
      </c>
      <c r="D35" s="170" t="n">
        <v>319.77</v>
      </c>
      <c r="E35" s="170" t="n">
        <v>486.47</v>
      </c>
      <c r="F35" s="170" t="n">
        <v>579.59</v>
      </c>
      <c r="G35" s="170" t="n">
        <v>160.62</v>
      </c>
      <c r="H35" s="170" t="n">
        <v>202.85</v>
      </c>
      <c r="I35" s="114" t="n">
        <f aca="false">'Budget P&amp;L'!I34</f>
        <v>420.88</v>
      </c>
      <c r="J35" s="114" t="n">
        <f aca="false">'Budget P&amp;L'!J34</f>
        <v>420.88</v>
      </c>
      <c r="K35" s="114" t="n">
        <f aca="false">'Budget P&amp;L'!K34</f>
        <v>420.88</v>
      </c>
      <c r="L35" s="114" t="n">
        <f aca="false">'Budget P&amp;L'!L34</f>
        <v>420.88</v>
      </c>
      <c r="M35" s="114" t="n">
        <f aca="false">'Budget P&amp;L'!M34</f>
        <v>420.88</v>
      </c>
      <c r="N35" s="88" t="n">
        <f aca="false">SUM(B35:M35)</f>
        <v>4832.55</v>
      </c>
    </row>
    <row r="36" customFormat="false" ht="14.25" hidden="false" customHeight="true" outlineLevel="0" collapsed="false">
      <c r="A36" s="25" t="s">
        <v>537</v>
      </c>
      <c r="B36" s="170" t="n">
        <v>2705.65</v>
      </c>
      <c r="C36" s="170" t="n">
        <v>1598.23</v>
      </c>
      <c r="D36" s="170" t="n">
        <v>2648.42</v>
      </c>
      <c r="E36" s="170" t="n">
        <v>3059.94</v>
      </c>
      <c r="F36" s="170" t="n">
        <v>1942.95</v>
      </c>
      <c r="G36" s="170" t="n">
        <v>2497.17</v>
      </c>
      <c r="H36" s="170" t="n">
        <v>3145.14</v>
      </c>
      <c r="I36" s="114" t="n">
        <f aca="false">'Budget P&amp;L'!I35</f>
        <v>2408.73</v>
      </c>
      <c r="J36" s="114" t="n">
        <f aca="false">'Budget P&amp;L'!J35</f>
        <v>2408.73</v>
      </c>
      <c r="K36" s="114" t="n">
        <f aca="false">'Budget P&amp;L'!K35</f>
        <v>2408.73</v>
      </c>
      <c r="L36" s="114" t="n">
        <f aca="false">'Budget P&amp;L'!L35</f>
        <v>2408.73</v>
      </c>
      <c r="M36" s="114" t="n">
        <f aca="false">'Budget P&amp;L'!M35</f>
        <v>2408.73</v>
      </c>
      <c r="N36" s="88" t="n">
        <f aca="false">SUM(B36:M36)</f>
        <v>29641.15</v>
      </c>
    </row>
    <row r="37" customFormat="false" ht="14.25" hidden="false" customHeight="true" outlineLevel="0" collapsed="false">
      <c r="A37" s="25" t="s">
        <v>569</v>
      </c>
      <c r="B37" s="170" t="n">
        <v>1630</v>
      </c>
      <c r="C37" s="170" t="n">
        <v>340</v>
      </c>
      <c r="D37" s="170" t="n">
        <v>280</v>
      </c>
      <c r="E37" s="170" t="n">
        <v>1790</v>
      </c>
      <c r="F37" s="170" t="n">
        <v>4096</v>
      </c>
      <c r="G37" s="170" t="n">
        <v>280</v>
      </c>
      <c r="H37" s="170" t="n">
        <v>0</v>
      </c>
      <c r="I37" s="85" t="n">
        <v>0</v>
      </c>
      <c r="J37" s="85" t="n">
        <v>0</v>
      </c>
      <c r="K37" s="85" t="n">
        <v>0</v>
      </c>
      <c r="L37" s="85" t="n">
        <v>0</v>
      </c>
      <c r="M37" s="85" t="n">
        <v>0</v>
      </c>
      <c r="N37" s="88" t="n">
        <f aca="false">SUM(B37:M37)</f>
        <v>8416</v>
      </c>
    </row>
    <row r="38" customFormat="false" ht="14.25" hidden="false" customHeight="true" outlineLevel="0" collapsed="false">
      <c r="A38" s="25" t="s">
        <v>538</v>
      </c>
      <c r="B38" s="170" t="n">
        <v>162.91</v>
      </c>
      <c r="C38" s="170" t="n">
        <v>244.59</v>
      </c>
      <c r="D38" s="170" t="n">
        <v>295.51</v>
      </c>
      <c r="E38" s="170" t="n">
        <v>91.12</v>
      </c>
      <c r="F38" s="170" t="n">
        <v>222.15</v>
      </c>
      <c r="G38" s="170" t="n">
        <v>328.8</v>
      </c>
      <c r="H38" s="170" t="n">
        <v>404.14</v>
      </c>
      <c r="I38" s="114" t="n">
        <f aca="false">'Budget P&amp;L'!I36</f>
        <v>224.18</v>
      </c>
      <c r="J38" s="114" t="n">
        <f aca="false">'Budget P&amp;L'!J36</f>
        <v>224.18</v>
      </c>
      <c r="K38" s="114" t="n">
        <f aca="false">'Budget P&amp;L'!K36</f>
        <v>224.18</v>
      </c>
      <c r="L38" s="114" t="n">
        <f aca="false">'Budget P&amp;L'!L36</f>
        <v>224.18</v>
      </c>
      <c r="M38" s="114" t="n">
        <f aca="false">'Budget P&amp;L'!M36</f>
        <v>224.18</v>
      </c>
      <c r="N38" s="88" t="n">
        <f aca="false">SUM(B38:M38)</f>
        <v>2870.12</v>
      </c>
    </row>
    <row r="39" customFormat="false" ht="14.25" hidden="false" customHeight="true" outlineLevel="0" collapsed="false">
      <c r="A39" s="25" t="s">
        <v>539</v>
      </c>
      <c r="B39" s="170" t="n">
        <v>0</v>
      </c>
      <c r="C39" s="170" t="n">
        <v>12</v>
      </c>
      <c r="D39" s="170" t="n">
        <v>0</v>
      </c>
      <c r="E39" s="170" t="n">
        <v>0</v>
      </c>
      <c r="F39" s="170" t="n">
        <v>55.35</v>
      </c>
      <c r="G39" s="170" t="n">
        <v>0</v>
      </c>
      <c r="H39" s="170" t="n">
        <v>0</v>
      </c>
      <c r="I39" s="114" t="n">
        <f aca="false">'Budget P&amp;L'!I37</f>
        <v>11.22</v>
      </c>
      <c r="J39" s="114" t="n">
        <f aca="false">'Budget P&amp;L'!J37</f>
        <v>11.22</v>
      </c>
      <c r="K39" s="114" t="n">
        <f aca="false">'Budget P&amp;L'!K37</f>
        <v>11.22</v>
      </c>
      <c r="L39" s="114" t="n">
        <f aca="false">'Budget P&amp;L'!L37</f>
        <v>11.22</v>
      </c>
      <c r="M39" s="114" t="n">
        <f aca="false">'Budget P&amp;L'!M37</f>
        <v>11.22</v>
      </c>
      <c r="N39" s="88" t="n">
        <f aca="false">SUM(B39:M39)</f>
        <v>123.45</v>
      </c>
    </row>
    <row r="40" customFormat="false" ht="14.25" hidden="false" customHeight="true" outlineLevel="0" collapsed="false">
      <c r="A40" s="25" t="s">
        <v>540</v>
      </c>
      <c r="B40" s="170" t="n">
        <v>1200</v>
      </c>
      <c r="C40" s="170" t="n">
        <v>1200</v>
      </c>
      <c r="D40" s="170" t="n">
        <v>1200</v>
      </c>
      <c r="E40" s="170" t="n">
        <v>1200</v>
      </c>
      <c r="F40" s="170" t="n">
        <v>1200</v>
      </c>
      <c r="G40" s="170" t="n">
        <v>1200</v>
      </c>
      <c r="H40" s="170" t="n">
        <v>1200</v>
      </c>
      <c r="I40" s="114" t="n">
        <f aca="false">'Budget P&amp;L'!I38</f>
        <v>1200</v>
      </c>
      <c r="J40" s="114" t="n">
        <f aca="false">'Budget P&amp;L'!J38</f>
        <v>1200</v>
      </c>
      <c r="K40" s="114" t="n">
        <f aca="false">'Budget P&amp;L'!K38</f>
        <v>1200</v>
      </c>
      <c r="L40" s="114" t="n">
        <f aca="false">'Budget P&amp;L'!L38</f>
        <v>1200</v>
      </c>
      <c r="M40" s="114" t="n">
        <f aca="false">'Budget P&amp;L'!M38</f>
        <v>1200</v>
      </c>
      <c r="N40" s="88" t="n">
        <f aca="false">SUM(B40:M40)</f>
        <v>14400</v>
      </c>
    </row>
    <row r="41" customFormat="false" ht="14.25" hidden="false" customHeight="true" outlineLevel="0" collapsed="false">
      <c r="A41" s="25" t="s">
        <v>570</v>
      </c>
      <c r="B41" s="170" t="n">
        <v>0</v>
      </c>
      <c r="C41" s="170" t="n">
        <v>0</v>
      </c>
      <c r="D41" s="170" t="n">
        <v>0</v>
      </c>
      <c r="E41" s="170" t="n">
        <v>0</v>
      </c>
      <c r="F41" s="170" t="n">
        <v>0</v>
      </c>
      <c r="G41" s="170" t="n">
        <v>0</v>
      </c>
      <c r="H41" s="170" t="n">
        <v>0</v>
      </c>
      <c r="I41" s="85" t="n">
        <v>0</v>
      </c>
      <c r="J41" s="85" t="n">
        <v>0</v>
      </c>
      <c r="K41" s="85" t="n">
        <v>0</v>
      </c>
      <c r="L41" s="85" t="n">
        <v>0</v>
      </c>
      <c r="M41" s="85" t="n">
        <v>0</v>
      </c>
      <c r="N41" s="88" t="n">
        <f aca="false">SUM(B41:M41)</f>
        <v>0</v>
      </c>
    </row>
    <row r="42" customFormat="false" ht="14.25" hidden="false" customHeight="true" outlineLevel="0" collapsed="false">
      <c r="A42" s="25" t="s">
        <v>541</v>
      </c>
      <c r="B42" s="170" t="n">
        <v>0</v>
      </c>
      <c r="C42" s="170" t="n">
        <v>0</v>
      </c>
      <c r="D42" s="170" t="n">
        <v>0</v>
      </c>
      <c r="E42" s="170" t="n">
        <v>207.36</v>
      </c>
      <c r="F42" s="170" t="n">
        <v>0</v>
      </c>
      <c r="G42" s="170" t="n">
        <v>0</v>
      </c>
      <c r="H42" s="170" t="n">
        <v>0</v>
      </c>
      <c r="I42" s="114" t="n">
        <f aca="false">'Budget P&amp;L'!I39</f>
        <v>34.56</v>
      </c>
      <c r="J42" s="114" t="n">
        <f aca="false">'Budget P&amp;L'!J39</f>
        <v>34.56</v>
      </c>
      <c r="K42" s="114" t="n">
        <f aca="false">'Budget P&amp;L'!K39</f>
        <v>34.56</v>
      </c>
      <c r="L42" s="114" t="n">
        <f aca="false">'Budget P&amp;L'!L39</f>
        <v>34.56</v>
      </c>
      <c r="M42" s="114" t="n">
        <f aca="false">'Budget P&amp;L'!M39</f>
        <v>34.56</v>
      </c>
      <c r="N42" s="88" t="n">
        <f aca="false">SUM(B42:M42)</f>
        <v>380.16</v>
      </c>
    </row>
    <row r="43" customFormat="false" ht="14.25" hidden="false" customHeight="true" outlineLevel="0" collapsed="false">
      <c r="A43" s="87" t="s">
        <v>571</v>
      </c>
      <c r="B43" s="88" t="n">
        <f aca="false">SUM(B25:B42)</f>
        <v>6896.19</v>
      </c>
      <c r="C43" s="88" t="n">
        <f aca="false">SUM(C25:C42)</f>
        <v>4395.76</v>
      </c>
      <c r="D43" s="88" t="n">
        <f aca="false">SUM(D25:D42)</f>
        <v>6522.83</v>
      </c>
      <c r="E43" s="88" t="n">
        <f aca="false">SUM(E25:E42)</f>
        <v>7155.22</v>
      </c>
      <c r="F43" s="88" t="n">
        <f aca="false">SUM(F25:F42)</f>
        <v>11940.53</v>
      </c>
      <c r="G43" s="88" t="n">
        <f aca="false">SUM(G25:G42)</f>
        <v>10475.28</v>
      </c>
      <c r="H43" s="88" t="n">
        <f aca="false">SUM(H25:H42)</f>
        <v>11257.87</v>
      </c>
      <c r="I43" s="88" t="n">
        <f aca="false">SUM(I25:I42)</f>
        <v>22037.9554166667</v>
      </c>
      <c r="J43" s="88" t="n">
        <f aca="false">SUM(J25:J42)</f>
        <v>22037.9554166667</v>
      </c>
      <c r="K43" s="88" t="n">
        <f aca="false">SUM(K25:K42)</f>
        <v>22037.9554166667</v>
      </c>
      <c r="L43" s="88" t="n">
        <f aca="false">SUM(L25:L42)</f>
        <v>23677.1409166667</v>
      </c>
      <c r="M43" s="88" t="n">
        <f aca="false">SUM(M25:M42)</f>
        <v>23677.1409166667</v>
      </c>
      <c r="N43" s="88" t="n">
        <f aca="false">SUM(N25:N42)</f>
        <v>172111.828083333</v>
      </c>
    </row>
    <row r="44" customFormat="false" ht="14.25" hidden="false" customHeight="true" outlineLevel="0" collapsed="false">
      <c r="A44" s="148" t="s">
        <v>572</v>
      </c>
      <c r="B44" s="149" t="n">
        <f aca="false">B23-B43</f>
        <v>31585.79</v>
      </c>
      <c r="C44" s="149" t="n">
        <f aca="false">C23-C43</f>
        <v>14183.02</v>
      </c>
      <c r="D44" s="149" t="n">
        <f aca="false">D23-D43</f>
        <v>56125.05</v>
      </c>
      <c r="E44" s="149" t="n">
        <f aca="false">E23-E43</f>
        <v>44242.27</v>
      </c>
      <c r="F44" s="149" t="n">
        <f aca="false">F23-F43</f>
        <v>36340.97</v>
      </c>
      <c r="G44" s="149" t="n">
        <f aca="false">G23-G43</f>
        <v>21254.95</v>
      </c>
      <c r="H44" s="149" t="n">
        <f aca="false">H23-H43</f>
        <v>66279.51</v>
      </c>
      <c r="I44" s="149" t="n">
        <f aca="false">I23-I43</f>
        <v>29764.2880252777</v>
      </c>
      <c r="J44" s="149" t="n">
        <f aca="false">J23-J43</f>
        <v>22434.2488252777</v>
      </c>
      <c r="K44" s="149" t="n">
        <f aca="false">K23-K43</f>
        <v>44675.727230407</v>
      </c>
      <c r="L44" s="149" t="n">
        <f aca="false">L23-L43</f>
        <v>29658.3363864548</v>
      </c>
      <c r="M44" s="149" t="n">
        <f aca="false">M23-M43</f>
        <v>27453.6426084309</v>
      </c>
      <c r="N44" s="149" t="n">
        <f aca="false">N23-N43</f>
        <v>423997.803075848</v>
      </c>
    </row>
    <row r="45" customFormat="false" ht="14.25" hidden="false" customHeight="true" outlineLevel="0" collapsed="false">
      <c r="A45" s="94" t="s">
        <v>573</v>
      </c>
      <c r="B45" s="139" t="n">
        <f aca="false">IF(B13=0,0,B44/B13)</f>
        <v>0.487232017523563</v>
      </c>
      <c r="C45" s="139" t="n">
        <f aca="false">IF(C13=0,0,C44/C13)</f>
        <v>0.254090605755235</v>
      </c>
      <c r="D45" s="139" t="n">
        <f aca="false">IF(D13=0,0,D44/D13)</f>
        <v>0.542802016465383</v>
      </c>
      <c r="E45" s="139" t="n">
        <f aca="false">IF(E13=0,0,E44/E13)</f>
        <v>0.4945245726645</v>
      </c>
      <c r="F45" s="139" t="n">
        <f aca="false">IF(F13=0,0,F44/F13)</f>
        <v>0.36275510840688</v>
      </c>
      <c r="G45" s="139" t="n">
        <f aca="false">IF(G13=0,0,G44/G13)</f>
        <v>0.208128843366887</v>
      </c>
      <c r="H45" s="139" t="n">
        <f aca="false">IF(H13=0,0,H44/H13)</f>
        <v>0.37526646210681</v>
      </c>
      <c r="I45" s="139" t="n">
        <f aca="false">IF(I13=0,0,I44/I13)</f>
        <v>0.299592682783967</v>
      </c>
      <c r="J45" s="139" t="n">
        <f aca="false">IF(J13=0,0,J44/J13)</f>
        <v>0.219193239699803</v>
      </c>
      <c r="K45" s="139" t="n">
        <f aca="false">IF(K13=0,0,K44/K13)</f>
        <v>0.364147410736664</v>
      </c>
      <c r="L45" s="139" t="n">
        <f aca="false">IF(L13=0,0,L44/L13)</f>
        <v>0.260537622008242</v>
      </c>
      <c r="M45" s="139" t="n">
        <f aca="false">IF(M13=0,0,M44/M13)</f>
        <v>0.223635828443416</v>
      </c>
      <c r="N45" s="139" t="n">
        <f aca="false">IF(N13=0,0,N44/N13)</f>
        <v>0.338274650557352</v>
      </c>
    </row>
    <row r="46" customFormat="false" ht="14.25" hidden="false" customHeight="true" outlineLevel="0" collapsed="false">
      <c r="A46" s="4" t="s">
        <v>574</v>
      </c>
      <c r="B46" s="171" t="n">
        <f aca="false">SUM(B44:H44)</f>
        <v>270011.56</v>
      </c>
      <c r="C46" s="172" t="n">
        <f aca="false">SUM(I44:M44)</f>
        <v>153986.243075848</v>
      </c>
      <c r="D46" s="4" t="s">
        <v>575</v>
      </c>
    </row>
    <row r="48" customFormat="false" ht="14.25" hidden="false" customHeight="true" outlineLevel="0" collapsed="false">
      <c r="A48" s="28" t="s">
        <v>576</v>
      </c>
      <c r="B48" s="27"/>
      <c r="C48" s="27"/>
      <c r="D48" s="27"/>
      <c r="E48" s="27"/>
      <c r="F48" s="27"/>
      <c r="G48" s="27"/>
      <c r="H48" s="27"/>
      <c r="I48" s="27"/>
      <c r="J48" s="27"/>
      <c r="K48" s="27"/>
      <c r="L48" s="27"/>
      <c r="M48" s="27"/>
      <c r="N48" s="27"/>
    </row>
    <row r="49" customFormat="false" ht="25.5" hidden="false" customHeight="true" outlineLevel="0" collapsed="false">
      <c r="A49" s="118" t="s">
        <v>577</v>
      </c>
      <c r="B49" s="118"/>
      <c r="C49" s="118"/>
      <c r="D49" s="118"/>
      <c r="E49" s="118"/>
      <c r="F49" s="118"/>
      <c r="G49" s="118"/>
      <c r="H49" s="118"/>
      <c r="I49" s="118"/>
      <c r="J49" s="118"/>
      <c r="K49" s="118"/>
      <c r="L49" s="118"/>
      <c r="M49" s="118"/>
      <c r="N49" s="118"/>
    </row>
    <row r="50" customFormat="false" ht="14.25" hidden="false" customHeight="true" outlineLevel="0" collapsed="false">
      <c r="A50" s="33" t="s">
        <v>578</v>
      </c>
      <c r="N50" s="31" t="n">
        <f aca="false">N44</f>
        <v>423997.803075848</v>
      </c>
    </row>
    <row r="51" customFormat="false" ht="14.25" hidden="false" customHeight="true" outlineLevel="0" collapsed="false">
      <c r="A51" s="25" t="s">
        <v>579</v>
      </c>
      <c r="N51" s="173" t="n">
        <f aca="false">-SUM('Budget P&amp;L'!$B$24:$H$24)</f>
        <v>-53812.5</v>
      </c>
    </row>
    <row r="52" customFormat="false" ht="14.25" hidden="false" customHeight="true" outlineLevel="0" collapsed="false">
      <c r="A52" s="25" t="s">
        <v>580</v>
      </c>
      <c r="N52" s="173" t="n">
        <f aca="false">-SUM('Budget P&amp;L'!$B$25:$H$25)</f>
        <v>-39666.6666666667</v>
      </c>
    </row>
    <row r="53" customFormat="false" ht="14.25" hidden="false" customHeight="true" outlineLevel="0" collapsed="false">
      <c r="A53" s="25" t="s">
        <v>581</v>
      </c>
      <c r="N53" s="173" t="n">
        <f aca="false">-SUM('Budget P&amp;L'!$B$26:$H$26)</f>
        <v>-7271.80125</v>
      </c>
    </row>
    <row r="54" customFormat="false" ht="14.25" hidden="false" customHeight="true" outlineLevel="0" collapsed="false">
      <c r="A54" s="25" t="s">
        <v>582</v>
      </c>
      <c r="N54" s="173" t="n">
        <f aca="false">-SUM('Budget P&amp;L'!$B$27:$H$27)</f>
        <v>-0</v>
      </c>
    </row>
    <row r="55" customFormat="false" ht="14.25" hidden="false" customHeight="true" outlineLevel="0" collapsed="false">
      <c r="A55" s="25" t="s">
        <v>583</v>
      </c>
      <c r="N55" s="173" t="n">
        <f aca="false">-SUM('Budget P&amp;L'!$B$19:$H$19)</f>
        <v>-0</v>
      </c>
    </row>
    <row r="56" customFormat="false" ht="14.25" hidden="false" customHeight="true" outlineLevel="0" collapsed="false">
      <c r="A56" s="25" t="s">
        <v>584</v>
      </c>
      <c r="N56" s="173" t="n">
        <f aca="false">-SUM('Budget P&amp;L'!$B$32:$H$32)</f>
        <v>-8050</v>
      </c>
    </row>
    <row r="57" customFormat="false" ht="14.25" hidden="false" customHeight="true" outlineLevel="0" collapsed="false">
      <c r="A57" s="130" t="s">
        <v>585</v>
      </c>
      <c r="N57" s="131" t="n">
        <f aca="false">N50+SUM(N51:N56)</f>
        <v>315196.835159182</v>
      </c>
    </row>
    <row r="59" customFormat="false" ht="25.5" hidden="false" customHeight="true" outlineLevel="0" collapsed="false">
      <c r="A59" s="118" t="s">
        <v>586</v>
      </c>
      <c r="B59" s="118"/>
      <c r="C59" s="118"/>
      <c r="D59" s="118"/>
      <c r="E59" s="118"/>
      <c r="F59" s="118"/>
      <c r="G59" s="118"/>
      <c r="H59" s="118"/>
      <c r="I59" s="118"/>
      <c r="J59" s="118"/>
      <c r="K59" s="118"/>
      <c r="L59" s="118"/>
      <c r="M59" s="118"/>
      <c r="N59" s="118"/>
    </row>
    <row r="60" customFormat="false" ht="25.5" hidden="false" customHeight="true" outlineLevel="0" collapsed="false">
      <c r="A60" s="118" t="s">
        <v>587</v>
      </c>
      <c r="B60" s="118"/>
      <c r="C60" s="118"/>
      <c r="D60" s="118"/>
      <c r="E60" s="118"/>
      <c r="F60" s="118"/>
      <c r="G60" s="118"/>
      <c r="H60" s="118"/>
      <c r="I60" s="118"/>
      <c r="J60" s="118"/>
      <c r="K60" s="118"/>
      <c r="L60" s="118"/>
      <c r="M60" s="118"/>
      <c r="N60" s="118"/>
    </row>
    <row r="61" customFormat="false" ht="25.5" hidden="false" customHeight="true" outlineLevel="0" collapsed="false">
      <c r="A61" s="118" t="s">
        <v>588</v>
      </c>
      <c r="B61" s="118"/>
      <c r="C61" s="118"/>
      <c r="D61" s="118"/>
      <c r="E61" s="118"/>
      <c r="F61" s="118"/>
      <c r="G61" s="118"/>
      <c r="H61" s="118"/>
      <c r="I61" s="118"/>
      <c r="J61" s="118"/>
      <c r="K61" s="118"/>
      <c r="L61" s="118"/>
      <c r="M61" s="118"/>
      <c r="N61" s="118"/>
    </row>
  </sheetData>
  <mergeCells count="4">
    <mergeCell ref="A49:N49"/>
    <mergeCell ref="A59:N59"/>
    <mergeCell ref="A60:N60"/>
    <mergeCell ref="A61:N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82"/>
  <sheetViews>
    <sheetView showFormulas="false" showGridLines="false" showRowColHeaders="true" showZeros="true" rightToLeft="false" tabSelected="false" showOutlineSymbols="true" defaultGridColor="true" view="normal" topLeftCell="A27" colorId="64" zoomScale="100" zoomScaleNormal="100" zoomScalePageLayoutView="100" workbookViewId="0">
      <selection pane="topLeft" activeCell="A1" activeCellId="0" sqref="A1"/>
    </sheetView>
  </sheetViews>
  <sheetFormatPr defaultColWidth="8.55859375" defaultRowHeight="14.25" zeroHeight="false" outlineLevelRow="0" outlineLevelCol="0"/>
  <cols>
    <col collapsed="false" customWidth="true" hidden="false" outlineLevel="0" max="1" min="1" style="1" width="4"/>
    <col collapsed="false" customWidth="true" hidden="false" outlineLevel="0" max="2" min="2" style="1" width="46"/>
    <col collapsed="false" customWidth="true" hidden="false" outlineLevel="0" max="4" min="3" style="1" width="15"/>
    <col collapsed="false" customWidth="true" hidden="false" outlineLevel="0" max="5" min="5" style="1" width="62"/>
  </cols>
  <sheetData>
    <row r="1" customFormat="false" ht="17.25" hidden="false" customHeight="true" outlineLevel="0" collapsed="false">
      <c r="B1" s="102" t="s">
        <v>0</v>
      </c>
    </row>
    <row r="2" customFormat="false" ht="15" hidden="false" customHeight="true" outlineLevel="0" collapsed="false">
      <c r="B2" s="103" t="s">
        <v>589</v>
      </c>
    </row>
    <row r="3" customFormat="false" ht="14.25" hidden="false" customHeight="true" outlineLevel="0" collapsed="false">
      <c r="B3" s="4" t="s">
        <v>590</v>
      </c>
    </row>
    <row r="4" customFormat="false" ht="14.25" hidden="false" customHeight="true" outlineLevel="0" collapsed="false">
      <c r="B4" s="48" t="s">
        <v>591</v>
      </c>
    </row>
    <row r="6" customFormat="false" ht="14.25" hidden="false" customHeight="true" outlineLevel="0" collapsed="false">
      <c r="B6" s="28" t="s">
        <v>592</v>
      </c>
      <c r="C6" s="27"/>
      <c r="D6" s="27"/>
      <c r="E6" s="27"/>
    </row>
    <row r="7" customFormat="false" ht="14.25" hidden="false" customHeight="true" outlineLevel="0" collapsed="false">
      <c r="B7" s="25" t="s">
        <v>593</v>
      </c>
      <c r="C7" s="174" t="s">
        <v>594</v>
      </c>
      <c r="E7" s="4" t="s">
        <v>595</v>
      </c>
    </row>
    <row r="8" customFormat="false" ht="14.25" hidden="false" customHeight="true" outlineLevel="0" collapsed="false">
      <c r="B8" s="25" t="s">
        <v>596</v>
      </c>
      <c r="C8" s="174" t="s">
        <v>597</v>
      </c>
      <c r="E8" s="4" t="s">
        <v>598</v>
      </c>
    </row>
    <row r="9" customFormat="false" ht="14.25" hidden="false" customHeight="true" outlineLevel="0" collapsed="false">
      <c r="B9" s="25" t="s">
        <v>599</v>
      </c>
      <c r="C9" s="84" t="n">
        <v>1</v>
      </c>
      <c r="E9" s="4" t="s">
        <v>600</v>
      </c>
    </row>
    <row r="10" customFormat="false" ht="14.25" hidden="false" customHeight="true" outlineLevel="0" collapsed="false">
      <c r="B10" s="25" t="s">
        <v>601</v>
      </c>
      <c r="C10" s="12" t="n">
        <v>0</v>
      </c>
      <c r="E10" s="4" t="s">
        <v>602</v>
      </c>
    </row>
    <row r="11" customFormat="false" ht="14.25" hidden="false" customHeight="true" outlineLevel="0" collapsed="false">
      <c r="B11" s="25" t="s">
        <v>603</v>
      </c>
      <c r="C11" s="12" t="n">
        <v>0</v>
      </c>
      <c r="E11" s="4" t="s">
        <v>604</v>
      </c>
    </row>
    <row r="13" customFormat="false" ht="14.25" hidden="false" customHeight="true" outlineLevel="0" collapsed="false">
      <c r="B13" s="28" t="s">
        <v>605</v>
      </c>
      <c r="C13" s="27"/>
      <c r="D13" s="27"/>
      <c r="E13" s="27"/>
    </row>
    <row r="14" customFormat="false" ht="14.25" hidden="false" customHeight="true" outlineLevel="0" collapsed="false">
      <c r="B14" s="25" t="s">
        <v>606</v>
      </c>
      <c r="C14" s="114" t="n">
        <f aca="false">'Forecast 2026'!$N$44</f>
        <v>423997.803075848</v>
      </c>
      <c r="E14" s="4" t="s">
        <v>607</v>
      </c>
    </row>
    <row r="15" customFormat="false" ht="14.25" hidden="false" customHeight="true" outlineLevel="0" collapsed="false">
      <c r="B15" s="25" t="s">
        <v>608</v>
      </c>
      <c r="C15" s="85" t="n">
        <f aca="false">Assumptions!$B$28/12*5</f>
        <v>76875</v>
      </c>
      <c r="E15" s="4" t="s">
        <v>609</v>
      </c>
    </row>
    <row r="16" customFormat="false" ht="14.25" hidden="false" customHeight="true" outlineLevel="0" collapsed="false">
      <c r="B16" s="25" t="s">
        <v>610</v>
      </c>
      <c r="C16" s="85" t="n">
        <f aca="false">'Staff P&amp;L'!$J$6/12*5</f>
        <v>5944.77083333333</v>
      </c>
      <c r="E16" s="4" t="s">
        <v>611</v>
      </c>
    </row>
    <row r="17" customFormat="false" ht="14.25" hidden="false" customHeight="true" outlineLevel="0" collapsed="false">
      <c r="B17" s="25" t="s">
        <v>612</v>
      </c>
      <c r="C17" s="12" t="n">
        <v>0</v>
      </c>
      <c r="E17" s="4" t="s">
        <v>613</v>
      </c>
    </row>
    <row r="18" customFormat="false" ht="14.25" hidden="false" customHeight="true" outlineLevel="0" collapsed="false">
      <c r="B18" s="87" t="s">
        <v>614</v>
      </c>
      <c r="C18" s="88" t="n">
        <f aca="false">C14+C15+C16+C17</f>
        <v>506817.573909182</v>
      </c>
      <c r="E18" s="4" t="s">
        <v>615</v>
      </c>
    </row>
    <row r="19" customFormat="false" ht="14.25" hidden="false" customHeight="true" outlineLevel="0" collapsed="false">
      <c r="B19" s="25" t="s">
        <v>616</v>
      </c>
      <c r="C19" s="173" t="n">
        <f aca="false">-Assumptions!$B$28</f>
        <v>-184500</v>
      </c>
      <c r="E19" s="4" t="s">
        <v>617</v>
      </c>
    </row>
    <row r="20" customFormat="false" ht="14.25" hidden="false" customHeight="true" outlineLevel="0" collapsed="false">
      <c r="B20" s="25" t="s">
        <v>618</v>
      </c>
      <c r="C20" s="173" t="n">
        <f aca="false">-'Staff P&amp;L'!$J$6</f>
        <v>-14267.45</v>
      </c>
      <c r="E20" s="4" t="s">
        <v>619</v>
      </c>
    </row>
    <row r="21" customFormat="false" ht="14.25" hidden="false" customHeight="true" outlineLevel="0" collapsed="false">
      <c r="B21" s="23" t="s">
        <v>620</v>
      </c>
      <c r="C21" s="86" t="n">
        <f aca="false">(C18+C19+C20)*C9</f>
        <v>308050.123909182</v>
      </c>
      <c r="E21" s="4" t="s">
        <v>621</v>
      </c>
    </row>
    <row r="23" customFormat="false" ht="14.25" hidden="false" customHeight="true" outlineLevel="0" collapsed="false">
      <c r="B23" s="28" t="s">
        <v>622</v>
      </c>
      <c r="C23" s="27"/>
      <c r="D23" s="27"/>
      <c r="E23" s="27"/>
    </row>
    <row r="24" customFormat="false" ht="14.25" hidden="false" customHeight="true" outlineLevel="0" collapsed="false">
      <c r="B24" s="25" t="s">
        <v>623</v>
      </c>
      <c r="C24" s="12" t="n">
        <v>32200</v>
      </c>
      <c r="E24" s="4" t="s">
        <v>624</v>
      </c>
    </row>
    <row r="25" customFormat="false" ht="14.25" hidden="false" customHeight="true" outlineLevel="0" collapsed="false">
      <c r="B25" s="25" t="s">
        <v>625</v>
      </c>
      <c r="C25" s="114" t="n">
        <f aca="false">Assumptions!$B$20</f>
        <v>184500</v>
      </c>
      <c r="E25" s="4" t="s">
        <v>626</v>
      </c>
    </row>
    <row r="26" customFormat="false" ht="14.25" hidden="false" customHeight="true" outlineLevel="0" collapsed="false">
      <c r="B26" s="25" t="s">
        <v>627</v>
      </c>
      <c r="C26" s="175" t="n">
        <v>0.062</v>
      </c>
    </row>
    <row r="27" customFormat="false" ht="14.25" hidden="false" customHeight="true" outlineLevel="0" collapsed="false">
      <c r="B27" s="25" t="s">
        <v>628</v>
      </c>
      <c r="C27" s="175" t="n">
        <v>0.0145</v>
      </c>
    </row>
    <row r="28" customFormat="false" ht="14.25" hidden="false" customHeight="true" outlineLevel="0" collapsed="false">
      <c r="B28" s="25" t="s">
        <v>629</v>
      </c>
      <c r="C28" s="175" t="n">
        <v>0.009</v>
      </c>
      <c r="E28" s="4" t="s">
        <v>630</v>
      </c>
    </row>
    <row r="29" customFormat="false" ht="14.25" hidden="false" customHeight="true" outlineLevel="0" collapsed="false">
      <c r="B29" s="25" t="s">
        <v>631</v>
      </c>
      <c r="C29" s="12" t="n">
        <v>250000</v>
      </c>
      <c r="E29" s="4" t="s">
        <v>632</v>
      </c>
    </row>
    <row r="30" customFormat="false" ht="14.25" hidden="false" customHeight="true" outlineLevel="0" collapsed="false">
      <c r="B30" s="25" t="s">
        <v>633</v>
      </c>
      <c r="C30" s="175" t="n">
        <v>0.025</v>
      </c>
      <c r="E30" s="4" t="s">
        <v>634</v>
      </c>
    </row>
    <row r="31" customFormat="false" ht="14.25" hidden="false" customHeight="true" outlineLevel="0" collapsed="false">
      <c r="B31" s="25" t="s">
        <v>635</v>
      </c>
      <c r="C31" s="84" t="n">
        <v>0.2</v>
      </c>
      <c r="E31" s="4" t="s">
        <v>636</v>
      </c>
    </row>
    <row r="32" customFormat="false" ht="14.25" hidden="false" customHeight="true" outlineLevel="0" collapsed="false">
      <c r="B32" s="25" t="s">
        <v>637</v>
      </c>
      <c r="C32" s="12" t="n">
        <v>403000</v>
      </c>
      <c r="E32" s="4" t="s">
        <v>638</v>
      </c>
    </row>
    <row r="33" customFormat="false" ht="14.25" hidden="false" customHeight="true" outlineLevel="0" collapsed="false">
      <c r="B33" s="25" t="s">
        <v>639</v>
      </c>
      <c r="C33" s="12" t="n">
        <v>150000</v>
      </c>
      <c r="E33" s="4" t="s">
        <v>640</v>
      </c>
    </row>
    <row r="35" customFormat="false" ht="14.25" hidden="false" customHeight="true" outlineLevel="0" collapsed="false">
      <c r="B35" s="28" t="s">
        <v>641</v>
      </c>
      <c r="C35" s="27"/>
      <c r="D35" s="27"/>
      <c r="E35" s="27"/>
    </row>
    <row r="36" customFormat="false" ht="14.25" hidden="false" customHeight="true" outlineLevel="0" collapsed="false">
      <c r="B36" s="27"/>
      <c r="C36" s="116" t="s">
        <v>642</v>
      </c>
      <c r="D36" s="116" t="s">
        <v>643</v>
      </c>
      <c r="E36" s="116" t="s">
        <v>644</v>
      </c>
    </row>
    <row r="37" customFormat="false" ht="14.25" hidden="false" customHeight="true" outlineLevel="0" collapsed="false">
      <c r="B37" s="176" t="s">
        <v>645</v>
      </c>
      <c r="C37" s="12" t="n">
        <v>0</v>
      </c>
      <c r="D37" s="84" t="n">
        <v>0.1</v>
      </c>
      <c r="E37" s="85" t="n">
        <f aca="false">MAX(0,$C$56-C37)*(D37-0)</f>
        <v>42229.5716162586</v>
      </c>
    </row>
    <row r="38" customFormat="false" ht="14.25" hidden="false" customHeight="true" outlineLevel="0" collapsed="false">
      <c r="B38" s="176" t="s">
        <v>646</v>
      </c>
      <c r="C38" s="12" t="n">
        <v>24800</v>
      </c>
      <c r="D38" s="84" t="n">
        <v>0.12</v>
      </c>
      <c r="E38" s="85" t="n">
        <f aca="false">MAX(0,$C$56-C38)*(D38-D37)</f>
        <v>7949.91432325171</v>
      </c>
    </row>
    <row r="39" customFormat="false" ht="14.25" hidden="false" customHeight="true" outlineLevel="0" collapsed="false">
      <c r="B39" s="176" t="s">
        <v>647</v>
      </c>
      <c r="C39" s="12" t="n">
        <v>100800</v>
      </c>
      <c r="D39" s="84" t="n">
        <v>0.22</v>
      </c>
      <c r="E39" s="85" t="n">
        <f aca="false">MAX(0,$C$56-C39)*(D39-D38)</f>
        <v>32149.5716162586</v>
      </c>
    </row>
    <row r="40" customFormat="false" ht="14.25" hidden="false" customHeight="true" outlineLevel="0" collapsed="false">
      <c r="B40" s="176" t="s">
        <v>648</v>
      </c>
      <c r="C40" s="12" t="n">
        <v>211100</v>
      </c>
      <c r="D40" s="84" t="n">
        <v>0.24</v>
      </c>
      <c r="E40" s="85" t="n">
        <f aca="false">MAX(0,$C$56-C40)*(D40-D39)</f>
        <v>4223.91432325171</v>
      </c>
    </row>
    <row r="41" customFormat="false" ht="14.25" hidden="false" customHeight="true" outlineLevel="0" collapsed="false">
      <c r="B41" s="176" t="s">
        <v>649</v>
      </c>
      <c r="C41" s="12" t="n">
        <v>403000</v>
      </c>
      <c r="D41" s="84" t="n">
        <v>0.32</v>
      </c>
      <c r="E41" s="85" t="n">
        <f aca="false">MAX(0,$C$56-C41)*(D41-D40)</f>
        <v>1543.65729300685</v>
      </c>
    </row>
    <row r="42" customFormat="false" ht="14.25" hidden="false" customHeight="true" outlineLevel="0" collapsed="false">
      <c r="B42" s="176" t="s">
        <v>650</v>
      </c>
      <c r="C42" s="12" t="n">
        <v>512450</v>
      </c>
      <c r="D42" s="84" t="n">
        <v>0.35</v>
      </c>
      <c r="E42" s="85" t="n">
        <f aca="false">MAX(0,$C$56-C42)*(D42-D41)</f>
        <v>0</v>
      </c>
    </row>
    <row r="43" customFormat="false" ht="14.25" hidden="false" customHeight="true" outlineLevel="0" collapsed="false">
      <c r="B43" s="176" t="s">
        <v>651</v>
      </c>
      <c r="C43" s="12" t="n">
        <v>768700</v>
      </c>
      <c r="D43" s="84" t="n">
        <v>0.37</v>
      </c>
      <c r="E43" s="85" t="n">
        <f aca="false">MAX(0,$C$56-C43)*(D43-D42)</f>
        <v>0</v>
      </c>
    </row>
    <row r="44" customFormat="false" ht="14.25" hidden="false" customHeight="true" outlineLevel="0" collapsed="false">
      <c r="B44" s="87" t="s">
        <v>652</v>
      </c>
      <c r="E44" s="177" t="n">
        <f aca="false">SUM(E37:E43)</f>
        <v>88096.6291720274</v>
      </c>
    </row>
    <row r="46" customFormat="false" ht="14.25" hidden="false" customHeight="true" outlineLevel="0" collapsed="false">
      <c r="B46" s="28" t="s">
        <v>653</v>
      </c>
      <c r="C46" s="27"/>
      <c r="D46" s="27"/>
      <c r="E46" s="27"/>
    </row>
    <row r="47" customFormat="false" ht="14.25" hidden="false" customHeight="true" outlineLevel="0" collapsed="false">
      <c r="B47" s="25" t="s">
        <v>654</v>
      </c>
      <c r="C47" s="114" t="n">
        <f aca="false">Assumptions!$B$28</f>
        <v>184500</v>
      </c>
    </row>
    <row r="48" customFormat="false" ht="14.25" hidden="false" customHeight="true" outlineLevel="0" collapsed="false">
      <c r="B48" s="25" t="s">
        <v>655</v>
      </c>
      <c r="C48" s="85" t="n">
        <f aca="false">C21</f>
        <v>308050.123909182</v>
      </c>
    </row>
    <row r="49" customFormat="false" ht="14.25" hidden="false" customHeight="true" outlineLevel="0" collapsed="false">
      <c r="B49" s="25" t="s">
        <v>656</v>
      </c>
      <c r="C49" s="85" t="n">
        <f aca="false">C10</f>
        <v>0</v>
      </c>
    </row>
    <row r="50" customFormat="false" ht="14.25" hidden="false" customHeight="true" outlineLevel="0" collapsed="false">
      <c r="B50" s="25" t="s">
        <v>603</v>
      </c>
      <c r="C50" s="85" t="n">
        <f aca="false">C11</f>
        <v>0</v>
      </c>
    </row>
    <row r="51" customFormat="false" ht="14.25" hidden="false" customHeight="true" outlineLevel="0" collapsed="false">
      <c r="B51" s="87" t="s">
        <v>657</v>
      </c>
      <c r="C51" s="88" t="n">
        <f aca="false">C47+C48+C49+C50</f>
        <v>492550.123909182</v>
      </c>
    </row>
    <row r="52" customFormat="false" ht="14.25" hidden="false" customHeight="true" outlineLevel="0" collapsed="false">
      <c r="B52" s="25" t="s">
        <v>658</v>
      </c>
      <c r="C52" s="173" t="n">
        <f aca="false">-C24</f>
        <v>-32200</v>
      </c>
    </row>
    <row r="53" customFormat="false" ht="14.25" hidden="false" customHeight="true" outlineLevel="0" collapsed="false">
      <c r="B53" s="33" t="s">
        <v>659</v>
      </c>
      <c r="C53" s="31" t="n">
        <f aca="false">MAX(0,C51+C52)</f>
        <v>460350.123909182</v>
      </c>
    </row>
    <row r="54" customFormat="false" ht="14.25" hidden="false" customHeight="true" outlineLevel="0" collapsed="false">
      <c r="B54" s="25" t="s">
        <v>660</v>
      </c>
      <c r="C54" s="178" t="n">
        <f aca="false">1-MIN(1,MAX(0,(C53-C32)/C33))</f>
        <v>0.617665840605456</v>
      </c>
      <c r="E54" s="4" t="s">
        <v>661</v>
      </c>
    </row>
    <row r="55" customFormat="false" ht="14.25" hidden="false" customHeight="true" outlineLevel="0" collapsed="false">
      <c r="B55" s="25" t="s">
        <v>662</v>
      </c>
      <c r="C55" s="173" t="n">
        <f aca="false">-MIN(C31*MAX(0,C48)*C54,C31*C53)</f>
        <v>-38054.4077465959</v>
      </c>
      <c r="E55" s="4" t="s">
        <v>663</v>
      </c>
    </row>
    <row r="56" customFormat="false" ht="14.25" hidden="false" customHeight="true" outlineLevel="0" collapsed="false">
      <c r="B56" s="23" t="s">
        <v>664</v>
      </c>
      <c r="C56" s="86" t="n">
        <f aca="false">MAX(0,C53+C55)</f>
        <v>422295.716162586</v>
      </c>
    </row>
    <row r="58" customFormat="false" ht="14.25" hidden="false" customHeight="true" outlineLevel="0" collapsed="false">
      <c r="B58" s="28" t="s">
        <v>665</v>
      </c>
      <c r="C58" s="27"/>
      <c r="D58" s="27"/>
      <c r="E58" s="27"/>
    </row>
    <row r="59" customFormat="false" ht="14.25" hidden="false" customHeight="true" outlineLevel="0" collapsed="false">
      <c r="B59" s="25" t="s">
        <v>652</v>
      </c>
      <c r="C59" s="85" t="n">
        <f aca="false">E44</f>
        <v>88096.6291720274</v>
      </c>
    </row>
    <row r="60" customFormat="false" ht="14.25" hidden="false" customHeight="true" outlineLevel="0" collapsed="false">
      <c r="B60" s="25" t="s">
        <v>666</v>
      </c>
      <c r="C60" s="85" t="n">
        <f aca="false">C26*MIN(C47,C25)</f>
        <v>11439</v>
      </c>
      <c r="E60" s="4" t="s">
        <v>667</v>
      </c>
    </row>
    <row r="61" customFormat="false" ht="14.25" hidden="false" customHeight="true" outlineLevel="0" collapsed="false">
      <c r="B61" s="25" t="s">
        <v>668</v>
      </c>
      <c r="C61" s="85" t="n">
        <f aca="false">C27*C47</f>
        <v>2675.25</v>
      </c>
    </row>
    <row r="62" customFormat="false" ht="14.25" hidden="false" customHeight="true" outlineLevel="0" collapsed="false">
      <c r="B62" s="25" t="s">
        <v>669</v>
      </c>
      <c r="C62" s="85" t="n">
        <f aca="false">C28*MAX(0,C47+C49-C29)</f>
        <v>0</v>
      </c>
      <c r="E62" s="4" t="s">
        <v>670</v>
      </c>
    </row>
    <row r="63" customFormat="false" ht="14.25" hidden="false" customHeight="true" outlineLevel="0" collapsed="false">
      <c r="B63" s="25" t="s">
        <v>671</v>
      </c>
      <c r="C63" s="85" t="n">
        <f aca="false">C30*C56</f>
        <v>10557.3929040646</v>
      </c>
      <c r="E63" s="4" t="s">
        <v>672</v>
      </c>
    </row>
    <row r="64" customFormat="false" ht="14.25" hidden="false" customHeight="true" outlineLevel="0" collapsed="false">
      <c r="B64" s="23" t="s">
        <v>673</v>
      </c>
      <c r="C64" s="86" t="n">
        <f aca="false">SUM(C59:C63)</f>
        <v>112768.272076092</v>
      </c>
    </row>
    <row r="65" customFormat="false" ht="14.25" hidden="false" customHeight="true" outlineLevel="0" collapsed="false">
      <c r="B65" s="179" t="s">
        <v>674</v>
      </c>
      <c r="C65" s="180" t="n">
        <f aca="false">IF(C51=0,0,C64/C51)</f>
        <v>0.228947809780441</v>
      </c>
    </row>
    <row r="67" customFormat="false" ht="14.25" hidden="false" customHeight="true" outlineLevel="0" collapsed="false">
      <c r="B67" s="28" t="s">
        <v>675</v>
      </c>
      <c r="C67" s="27"/>
      <c r="D67" s="27"/>
      <c r="E67" s="27"/>
    </row>
    <row r="68" customFormat="false" ht="14.25" hidden="false" customHeight="true" outlineLevel="0" collapsed="false">
      <c r="B68" s="25" t="s">
        <v>654</v>
      </c>
      <c r="C68" s="85" t="n">
        <f aca="false">C47</f>
        <v>184500</v>
      </c>
    </row>
    <row r="69" customFormat="false" ht="14.25" hidden="false" customHeight="true" outlineLevel="0" collapsed="false">
      <c r="B69" s="25" t="s">
        <v>676</v>
      </c>
      <c r="C69" s="85" t="n">
        <f aca="false">C48</f>
        <v>308050.123909182</v>
      </c>
      <c r="E69" s="4" t="s">
        <v>677</v>
      </c>
    </row>
    <row r="70" customFormat="false" ht="14.25" hidden="false" customHeight="true" outlineLevel="0" collapsed="false">
      <c r="B70" s="87" t="s">
        <v>678</v>
      </c>
      <c r="C70" s="88" t="n">
        <f aca="false">C68+C69</f>
        <v>492550.123909182</v>
      </c>
    </row>
    <row r="71" customFormat="false" ht="14.25" hidden="false" customHeight="true" outlineLevel="0" collapsed="false">
      <c r="B71" s="25" t="s">
        <v>679</v>
      </c>
      <c r="C71" s="173" t="n">
        <f aca="false">-C64</f>
        <v>-112768.272076092</v>
      </c>
    </row>
    <row r="72" customFormat="false" ht="14.25" hidden="false" customHeight="true" outlineLevel="0" collapsed="false">
      <c r="B72" s="148" t="s">
        <v>680</v>
      </c>
      <c r="C72" s="149" t="n">
        <f aca="false">C70+C71</f>
        <v>379781.85183309</v>
      </c>
    </row>
    <row r="73" customFormat="false" ht="14.25" hidden="false" customHeight="true" outlineLevel="0" collapsed="false">
      <c r="B73" s="25" t="s">
        <v>681</v>
      </c>
      <c r="C73" s="85" t="n">
        <f aca="false">C59+C63</f>
        <v>98654.0220760921</v>
      </c>
      <c r="E73" s="4" t="s">
        <v>682</v>
      </c>
    </row>
    <row r="74" customFormat="false" ht="14.25" hidden="false" customHeight="true" outlineLevel="0" collapsed="false">
      <c r="B74" s="25" t="s">
        <v>683</v>
      </c>
      <c r="C74" s="85" t="n">
        <f aca="false">C73/4</f>
        <v>24663.505519023</v>
      </c>
      <c r="E74" s="4" t="s">
        <v>684</v>
      </c>
    </row>
    <row r="75" customFormat="false" ht="14.25" hidden="false" customHeight="true" outlineLevel="0" collapsed="false">
      <c r="B75" s="25" t="s">
        <v>685</v>
      </c>
      <c r="C75" s="85" t="n">
        <f aca="false">IF(C51=0,0,C73*C48/C51)</f>
        <v>61700.0834016292</v>
      </c>
      <c r="E75" s="4" t="s">
        <v>686</v>
      </c>
    </row>
    <row r="77" customFormat="false" ht="14.25" hidden="false" customHeight="true" outlineLevel="0" collapsed="false">
      <c r="B77" s="28" t="s">
        <v>687</v>
      </c>
      <c r="C77" s="27"/>
      <c r="D77" s="27"/>
      <c r="E77" s="27"/>
    </row>
    <row r="78" customFormat="false" ht="27.75" hidden="false" customHeight="true" outlineLevel="0" collapsed="false">
      <c r="B78" s="118" t="s">
        <v>688</v>
      </c>
      <c r="C78" s="118"/>
      <c r="D78" s="118"/>
      <c r="E78" s="118"/>
    </row>
    <row r="79" customFormat="false" ht="27.75" hidden="false" customHeight="true" outlineLevel="0" collapsed="false">
      <c r="B79" s="118" t="s">
        <v>689</v>
      </c>
      <c r="C79" s="118"/>
      <c r="D79" s="118"/>
      <c r="E79" s="118"/>
    </row>
    <row r="80" customFormat="false" ht="27.75" hidden="false" customHeight="true" outlineLevel="0" collapsed="false">
      <c r="B80" s="118" t="s">
        <v>690</v>
      </c>
      <c r="C80" s="118"/>
      <c r="D80" s="118"/>
      <c r="E80" s="118"/>
    </row>
    <row r="81" customFormat="false" ht="27.75" hidden="false" customHeight="true" outlineLevel="0" collapsed="false">
      <c r="B81" s="118" t="s">
        <v>691</v>
      </c>
      <c r="C81" s="118"/>
      <c r="D81" s="118"/>
      <c r="E81" s="118"/>
    </row>
    <row r="82" customFormat="false" ht="27.75" hidden="false" customHeight="true" outlineLevel="0" collapsed="false">
      <c r="B82" s="118" t="s">
        <v>692</v>
      </c>
      <c r="C82" s="118"/>
      <c r="D82" s="118"/>
      <c r="E82" s="118"/>
    </row>
  </sheetData>
  <mergeCells count="5">
    <mergeCell ref="B78:E78"/>
    <mergeCell ref="B79:E79"/>
    <mergeCell ref="B80:E80"/>
    <mergeCell ref="B81:E81"/>
    <mergeCell ref="B82:E8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71"/>
  <sheetViews>
    <sheetView showFormulas="false" showGridLines="false" showRowColHeaders="true" showZeros="true" rightToLeft="false" tabSelected="false" showOutlineSymbols="true" defaultGridColor="true" view="normal" topLeftCell="A14" colorId="64" zoomScale="100" zoomScaleNormal="100" zoomScalePageLayoutView="100" workbookViewId="0">
      <selection pane="topLeft" activeCell="A1" activeCellId="0" sqref="A1"/>
    </sheetView>
  </sheetViews>
  <sheetFormatPr defaultColWidth="8.55859375" defaultRowHeight="14.2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46"/>
    <col collapsed="false" customWidth="true" hidden="false" outlineLevel="0" max="4" min="4" style="1" width="22"/>
  </cols>
  <sheetData>
    <row r="2" customFormat="false" ht="21" hidden="false" customHeight="true" outlineLevel="0" collapsed="false">
      <c r="B2" s="181" t="s">
        <v>0</v>
      </c>
    </row>
    <row r="3" customFormat="false" ht="15" hidden="false" customHeight="true" outlineLevel="0" collapsed="false">
      <c r="B3" s="3" t="s">
        <v>693</v>
      </c>
    </row>
    <row r="4" customFormat="false" ht="14.25" hidden="false" customHeight="true" outlineLevel="0" collapsed="false">
      <c r="B4" s="4" t="s">
        <v>694</v>
      </c>
    </row>
    <row r="6" customFormat="false" ht="14.25" hidden="false" customHeight="false" outlineLevel="0" collapsed="false">
      <c r="B6" s="182" t="s">
        <v>695</v>
      </c>
      <c r="C6" s="183"/>
      <c r="D6" s="183"/>
    </row>
    <row r="7" customFormat="false" ht="30" hidden="false" customHeight="true" outlineLevel="0" collapsed="false">
      <c r="B7" s="184" t="s">
        <v>696</v>
      </c>
      <c r="C7" s="185" t="s">
        <v>697</v>
      </c>
      <c r="D7" s="185"/>
    </row>
    <row r="8" customFormat="false" ht="30" hidden="false" customHeight="true" outlineLevel="0" collapsed="false">
      <c r="B8" s="184" t="s">
        <v>698</v>
      </c>
      <c r="C8" s="185" t="s">
        <v>699</v>
      </c>
      <c r="D8" s="185"/>
    </row>
    <row r="9" customFormat="false" ht="30" hidden="false" customHeight="true" outlineLevel="0" collapsed="false">
      <c r="B9" s="184" t="s">
        <v>478</v>
      </c>
      <c r="C9" s="185" t="s">
        <v>700</v>
      </c>
      <c r="D9" s="185"/>
    </row>
    <row r="10" customFormat="false" ht="30" hidden="false" customHeight="true" outlineLevel="0" collapsed="false">
      <c r="B10" s="184" t="s">
        <v>701</v>
      </c>
      <c r="C10" s="185" t="s">
        <v>702</v>
      </c>
      <c r="D10" s="185"/>
    </row>
    <row r="11" customFormat="false" ht="30" hidden="false" customHeight="true" outlineLevel="0" collapsed="false">
      <c r="B11" s="184" t="s">
        <v>703</v>
      </c>
      <c r="C11" s="185" t="s">
        <v>704</v>
      </c>
      <c r="D11" s="185"/>
    </row>
    <row r="12" customFormat="false" ht="14.25" hidden="false" customHeight="false" outlineLevel="0" collapsed="false">
      <c r="B12" s="186"/>
      <c r="C12" s="186"/>
      <c r="D12" s="186"/>
    </row>
    <row r="13" customFormat="false" ht="14.25" hidden="false" customHeight="false" outlineLevel="0" collapsed="false">
      <c r="B13" s="182" t="s">
        <v>705</v>
      </c>
      <c r="C13" s="183"/>
      <c r="D13" s="183"/>
    </row>
    <row r="14" customFormat="false" ht="30" hidden="false" customHeight="true" outlineLevel="0" collapsed="false">
      <c r="B14" s="187" t="s">
        <v>706</v>
      </c>
      <c r="C14" s="185" t="s">
        <v>707</v>
      </c>
      <c r="D14" s="185"/>
    </row>
    <row r="15" customFormat="false" ht="30" hidden="false" customHeight="true" outlineLevel="0" collapsed="false">
      <c r="B15" s="187" t="s">
        <v>708</v>
      </c>
      <c r="C15" s="185" t="s">
        <v>709</v>
      </c>
      <c r="D15" s="185"/>
    </row>
    <row r="16" customFormat="false" ht="30" hidden="false" customHeight="true" outlineLevel="0" collapsed="false">
      <c r="B16" s="187" t="s">
        <v>710</v>
      </c>
      <c r="C16" s="185" t="s">
        <v>711</v>
      </c>
      <c r="D16" s="185"/>
    </row>
    <row r="17" customFormat="false" ht="30" hidden="false" customHeight="true" outlineLevel="0" collapsed="false">
      <c r="B17" s="187" t="s">
        <v>712</v>
      </c>
      <c r="C17" s="185" t="s">
        <v>713</v>
      </c>
      <c r="D17" s="185"/>
    </row>
    <row r="18" customFormat="false" ht="30" hidden="false" customHeight="true" outlineLevel="0" collapsed="false">
      <c r="B18" s="187" t="s">
        <v>714</v>
      </c>
      <c r="C18" s="185" t="s">
        <v>715</v>
      </c>
      <c r="D18" s="185"/>
    </row>
    <row r="19" customFormat="false" ht="30" hidden="false" customHeight="true" outlineLevel="0" collapsed="false">
      <c r="B19" s="187" t="s">
        <v>716</v>
      </c>
      <c r="C19" s="185" t="s">
        <v>717</v>
      </c>
      <c r="D19" s="185"/>
    </row>
    <row r="20" customFormat="false" ht="30" hidden="false" customHeight="true" outlineLevel="0" collapsed="false">
      <c r="B20" s="187" t="s">
        <v>718</v>
      </c>
      <c r="C20" s="185" t="s">
        <v>719</v>
      </c>
      <c r="D20" s="185"/>
    </row>
    <row r="21" customFormat="false" ht="30" hidden="false" customHeight="true" outlineLevel="0" collapsed="false">
      <c r="B21" s="187" t="s">
        <v>720</v>
      </c>
      <c r="C21" s="185" t="s">
        <v>721</v>
      </c>
      <c r="D21" s="185"/>
    </row>
    <row r="22" customFormat="false" ht="30" hidden="false" customHeight="true" outlineLevel="0" collapsed="false">
      <c r="B22" s="187" t="s">
        <v>722</v>
      </c>
      <c r="C22" s="185" t="s">
        <v>723</v>
      </c>
      <c r="D22" s="185"/>
    </row>
    <row r="23" customFormat="false" ht="14.25" hidden="false" customHeight="false" outlineLevel="0" collapsed="false">
      <c r="B23" s="186"/>
      <c r="C23" s="186"/>
      <c r="D23" s="188"/>
    </row>
    <row r="24" customFormat="false" ht="14.25" hidden="false" customHeight="false" outlineLevel="0" collapsed="false">
      <c r="B24" s="182" t="s">
        <v>724</v>
      </c>
      <c r="C24" s="183"/>
      <c r="D24" s="189"/>
    </row>
    <row r="25" customFormat="false" ht="14.25" hidden="false" customHeight="false" outlineLevel="0" collapsed="false">
      <c r="B25" s="190" t="s">
        <v>725</v>
      </c>
      <c r="C25" s="191" t="s">
        <v>726</v>
      </c>
      <c r="D25" s="188"/>
    </row>
    <row r="26" customFormat="false" ht="14.25" hidden="false" customHeight="false" outlineLevel="0" collapsed="false">
      <c r="B26" s="184" t="s">
        <v>727</v>
      </c>
      <c r="C26" s="191" t="s">
        <v>728</v>
      </c>
      <c r="D26" s="186"/>
    </row>
    <row r="27" customFormat="false" ht="14.25" hidden="false" customHeight="false" outlineLevel="0" collapsed="false">
      <c r="B27" s="187" t="s">
        <v>729</v>
      </c>
      <c r="C27" s="191" t="s">
        <v>730</v>
      </c>
      <c r="D27" s="188"/>
    </row>
    <row r="28" customFormat="false" ht="14.25" hidden="false" customHeight="false" outlineLevel="0" collapsed="false">
      <c r="B28" s="192" t="s">
        <v>555</v>
      </c>
      <c r="C28" s="191" t="s">
        <v>731</v>
      </c>
      <c r="D28" s="188"/>
    </row>
    <row r="29" customFormat="false" ht="14.25" hidden="false" customHeight="false" outlineLevel="0" collapsed="false">
      <c r="B29" s="193" t="s">
        <v>556</v>
      </c>
      <c r="C29" s="191" t="s">
        <v>732</v>
      </c>
      <c r="D29" s="188"/>
    </row>
    <row r="30" customFormat="false" ht="14.25" hidden="false" customHeight="false" outlineLevel="0" collapsed="false">
      <c r="B30" s="186"/>
      <c r="C30" s="186"/>
      <c r="D30" s="188"/>
    </row>
    <row r="31" customFormat="false" ht="14.25" hidden="false" customHeight="false" outlineLevel="0" collapsed="false">
      <c r="B31" s="182" t="s">
        <v>733</v>
      </c>
      <c r="C31" s="183"/>
      <c r="D31" s="194"/>
    </row>
    <row r="32" customFormat="false" ht="14.25" hidden="false" customHeight="false" outlineLevel="0" collapsed="false">
      <c r="B32" s="191" t="s">
        <v>734</v>
      </c>
      <c r="C32" s="186"/>
      <c r="D32" s="195" t="n">
        <f aca="false">'Forecast 2026'!$N$13</f>
        <v>1253412.87730918</v>
      </c>
    </row>
    <row r="33" customFormat="false" ht="14.25" hidden="false" customHeight="false" outlineLevel="0" collapsed="false">
      <c r="B33" s="187" t="s">
        <v>735</v>
      </c>
      <c r="C33" s="186"/>
      <c r="D33" s="195" t="n">
        <f aca="false">'Forecast 2026'!$N$44</f>
        <v>423997.803075848</v>
      </c>
    </row>
    <row r="34" customFormat="false" ht="14.25" hidden="false" customHeight="false" outlineLevel="0" collapsed="false">
      <c r="B34" s="187" t="s">
        <v>736</v>
      </c>
      <c r="C34" s="186"/>
      <c r="D34" s="195" t="n">
        <f aca="false">'Forecast 2026'!$N$57</f>
        <v>315196.835159182</v>
      </c>
    </row>
    <row r="35" customFormat="false" ht="14.25" hidden="false" customHeight="false" outlineLevel="0" collapsed="false">
      <c r="B35" s="191" t="s">
        <v>737</v>
      </c>
      <c r="C35" s="186"/>
      <c r="D35" s="196" t="n">
        <f aca="false">'Bill Rates'!$H$70*'Bill Rates'!$H$71</f>
        <v>156.419797115232</v>
      </c>
    </row>
    <row r="36" customFormat="false" ht="14.25" hidden="false" customHeight="false" outlineLevel="0" collapsed="false">
      <c r="B36" s="191" t="s">
        <v>738</v>
      </c>
      <c r="C36" s="186"/>
      <c r="D36" s="197" t="n">
        <f aca="false">'Bill Rates'!$H$71</f>
        <v>0.986285027813695</v>
      </c>
    </row>
    <row r="37" customFormat="false" ht="14.25" hidden="false" customHeight="false" outlineLevel="0" collapsed="false">
      <c r="B37" s="191" t="s">
        <v>739</v>
      </c>
      <c r="C37" s="186"/>
      <c r="D37" s="197" t="n">
        <f aca="false">Assumptions!$B$15</f>
        <v>0.91</v>
      </c>
    </row>
    <row r="38" customFormat="false" ht="14.25" hidden="false" customHeight="false" outlineLevel="0" collapsed="false">
      <c r="B38" s="191" t="s">
        <v>740</v>
      </c>
      <c r="C38" s="186"/>
      <c r="D38" s="197" t="n">
        <f aca="false">'Monthly Capacity'!$C$58</f>
        <v>0.883530949491177</v>
      </c>
    </row>
    <row r="39" customFormat="false" ht="14.25" hidden="false" customHeight="false" outlineLevel="0" collapsed="false">
      <c r="B39" s="191" t="s">
        <v>741</v>
      </c>
      <c r="C39" s="186"/>
      <c r="D39" s="195" t="n">
        <f aca="false">Benefits!$C$53</f>
        <v>97268.432568</v>
      </c>
    </row>
    <row r="40" customFormat="false" ht="14.25" hidden="false" customHeight="false" outlineLevel="0" collapsed="false">
      <c r="B40" s="191" t="s">
        <v>742</v>
      </c>
      <c r="C40" s="186"/>
      <c r="D40" s="195" t="n">
        <f aca="false">Benefits!$C$55</f>
        <v>19036.015428</v>
      </c>
    </row>
    <row r="41" customFormat="false" ht="14.25" hidden="false" customHeight="false" outlineLevel="0" collapsed="false">
      <c r="B41" s="191" t="s">
        <v>743</v>
      </c>
      <c r="C41" s="186"/>
      <c r="D41" s="195" t="n">
        <f aca="false">'Growth &amp; Hiring'!$N$25</f>
        <v>56358.2813494596</v>
      </c>
    </row>
    <row r="42" customFormat="false" ht="14.25" hidden="false" customHeight="false" outlineLevel="0" collapsed="false">
      <c r="B42" s="191" t="s">
        <v>744</v>
      </c>
      <c r="C42" s="186"/>
      <c r="D42" s="198" t="n">
        <f aca="false">'Monthly Capacity'!$C$69</f>
        <v>1099.47779944537</v>
      </c>
    </row>
    <row r="43" customFormat="false" ht="14.25" hidden="false" customHeight="false" outlineLevel="0" collapsed="false">
      <c r="B43" s="191" t="s">
        <v>745</v>
      </c>
      <c r="C43" s="186"/>
      <c r="D43" s="195" t="n">
        <f aca="false">'Owner Earnings'!$C$21</f>
        <v>308050.123909182</v>
      </c>
    </row>
    <row r="44" customFormat="false" ht="14.25" hidden="false" customHeight="false" outlineLevel="0" collapsed="false">
      <c r="B44" s="186"/>
      <c r="C44" s="186"/>
      <c r="D44" s="186"/>
    </row>
    <row r="45" customFormat="false" ht="14.25" hidden="false" customHeight="false" outlineLevel="0" collapsed="false">
      <c r="B45" s="182" t="s">
        <v>746</v>
      </c>
      <c r="C45" s="183"/>
      <c r="D45" s="183"/>
    </row>
    <row r="46" customFormat="false" ht="33.75" hidden="false" customHeight="true" outlineLevel="0" collapsed="false">
      <c r="B46" s="199" t="s">
        <v>747</v>
      </c>
      <c r="C46" s="200" t="s">
        <v>748</v>
      </c>
      <c r="D46" s="200"/>
    </row>
    <row r="47" customFormat="false" ht="33.75" hidden="false" customHeight="true" outlineLevel="0" collapsed="false">
      <c r="B47" s="199" t="s">
        <v>747</v>
      </c>
      <c r="C47" s="200" t="s">
        <v>749</v>
      </c>
      <c r="D47" s="200"/>
    </row>
    <row r="48" customFormat="false" ht="33.75" hidden="false" customHeight="true" outlineLevel="0" collapsed="false">
      <c r="B48" s="199" t="s">
        <v>747</v>
      </c>
      <c r="C48" s="200" t="s">
        <v>750</v>
      </c>
      <c r="D48" s="200"/>
    </row>
    <row r="49" customFormat="false" ht="33.75" hidden="false" customHeight="true" outlineLevel="0" collapsed="false">
      <c r="B49" s="199" t="s">
        <v>747</v>
      </c>
      <c r="C49" s="200" t="s">
        <v>751</v>
      </c>
      <c r="D49" s="200"/>
    </row>
    <row r="50" customFormat="false" ht="33.75" hidden="false" customHeight="true" outlineLevel="0" collapsed="false">
      <c r="B50" s="199" t="s">
        <v>747</v>
      </c>
      <c r="C50" s="200" t="s">
        <v>752</v>
      </c>
      <c r="D50" s="200"/>
    </row>
    <row r="51" customFormat="false" ht="33.75" hidden="false" customHeight="true" outlineLevel="0" collapsed="false">
      <c r="B51" s="199" t="s">
        <v>747</v>
      </c>
      <c r="C51" s="200" t="s">
        <v>753</v>
      </c>
      <c r="D51" s="200"/>
    </row>
    <row r="52" customFormat="false" ht="33.75" hidden="false" customHeight="true" outlineLevel="0" collapsed="false">
      <c r="B52" s="199" t="s">
        <v>747</v>
      </c>
      <c r="C52" s="200" t="s">
        <v>754</v>
      </c>
      <c r="D52" s="200"/>
    </row>
    <row r="53" customFormat="false" ht="14.25" hidden="false" customHeight="false" outlineLevel="0" collapsed="false">
      <c r="B53" s="186"/>
      <c r="C53" s="186"/>
      <c r="D53" s="186"/>
    </row>
    <row r="54" customFormat="false" ht="14.25" hidden="false" customHeight="false" outlineLevel="0" collapsed="false">
      <c r="B54" s="186"/>
      <c r="C54" s="186"/>
      <c r="D54" s="186"/>
    </row>
    <row r="55" customFormat="false" ht="14.25" hidden="false" customHeight="false" outlineLevel="0" collapsed="false">
      <c r="B55" s="186"/>
      <c r="C55" s="186"/>
      <c r="D55" s="186"/>
    </row>
    <row r="56" customFormat="false" ht="14.25" hidden="false" customHeight="false" outlineLevel="0" collapsed="false">
      <c r="B56" s="186"/>
      <c r="C56" s="186"/>
      <c r="D56" s="186"/>
    </row>
    <row r="57" customFormat="false" ht="14.25" hidden="false" customHeight="false" outlineLevel="0" collapsed="false">
      <c r="B57" s="186"/>
      <c r="C57" s="186"/>
      <c r="D57" s="186"/>
    </row>
    <row r="58" customFormat="false" ht="14.25" hidden="false" customHeight="false" outlineLevel="0" collapsed="false">
      <c r="B58" s="186"/>
      <c r="C58" s="186"/>
      <c r="D58" s="186"/>
    </row>
    <row r="59" customFormat="false" ht="14.25" hidden="false" customHeight="false" outlineLevel="0" collapsed="false">
      <c r="B59" s="186"/>
      <c r="C59" s="186"/>
      <c r="D59" s="186"/>
    </row>
    <row r="60" customFormat="false" ht="14.25" hidden="false" customHeight="false" outlineLevel="0" collapsed="false">
      <c r="B60" s="186"/>
      <c r="C60" s="186"/>
      <c r="D60" s="186"/>
    </row>
    <row r="61" customFormat="false" ht="14.25" hidden="false" customHeight="false" outlineLevel="0" collapsed="false">
      <c r="B61" s="186"/>
      <c r="C61" s="186"/>
      <c r="D61" s="186"/>
    </row>
    <row r="62" customFormat="false" ht="14.25" hidden="false" customHeight="false" outlineLevel="0" collapsed="false">
      <c r="B62" s="186"/>
      <c r="C62" s="186"/>
      <c r="D62" s="186"/>
    </row>
    <row r="63" customFormat="false" ht="14.25" hidden="false" customHeight="false" outlineLevel="0" collapsed="false">
      <c r="B63" s="186"/>
      <c r="C63" s="186"/>
      <c r="D63" s="186"/>
    </row>
    <row r="64" customFormat="false" ht="14.25" hidden="false" customHeight="false" outlineLevel="0" collapsed="false">
      <c r="B64" s="186"/>
      <c r="C64" s="186"/>
      <c r="D64" s="186"/>
    </row>
    <row r="65" customFormat="false" ht="14.25" hidden="false" customHeight="false" outlineLevel="0" collapsed="false">
      <c r="B65" s="186"/>
      <c r="C65" s="186"/>
      <c r="D65" s="186"/>
    </row>
    <row r="66" customFormat="false" ht="14.25" hidden="false" customHeight="false" outlineLevel="0" collapsed="false">
      <c r="B66" s="186"/>
      <c r="C66" s="186"/>
      <c r="D66" s="186"/>
    </row>
    <row r="67" customFormat="false" ht="14.25" hidden="false" customHeight="false" outlineLevel="0" collapsed="false">
      <c r="B67" s="186"/>
      <c r="C67" s="186"/>
      <c r="D67" s="186"/>
    </row>
    <row r="68" customFormat="false" ht="14.25" hidden="false" customHeight="false" outlineLevel="0" collapsed="false">
      <c r="B68" s="186"/>
      <c r="C68" s="186"/>
      <c r="D68" s="186"/>
    </row>
    <row r="69" customFormat="false" ht="14.25" hidden="false" customHeight="false" outlineLevel="0" collapsed="false">
      <c r="B69" s="186"/>
      <c r="C69" s="186"/>
      <c r="D69" s="186"/>
    </row>
    <row r="70" customFormat="false" ht="14.25" hidden="false" customHeight="false" outlineLevel="0" collapsed="false">
      <c r="B70" s="186"/>
      <c r="C70" s="186"/>
      <c r="D70" s="186"/>
    </row>
    <row r="71" customFormat="false" ht="14.25" hidden="false" customHeight="false" outlineLevel="0" collapsed="false">
      <c r="B71" s="186"/>
      <c r="C71" s="186"/>
      <c r="D71" s="186"/>
    </row>
  </sheetData>
  <mergeCells count="21">
    <mergeCell ref="C7:D7"/>
    <mergeCell ref="C8:D8"/>
    <mergeCell ref="C9:D9"/>
    <mergeCell ref="C10:D10"/>
    <mergeCell ref="C11:D11"/>
    <mergeCell ref="C14:D14"/>
    <mergeCell ref="C15:D15"/>
    <mergeCell ref="C16:D16"/>
    <mergeCell ref="C17:D17"/>
    <mergeCell ref="C18:D18"/>
    <mergeCell ref="C19:D19"/>
    <mergeCell ref="C20:D20"/>
    <mergeCell ref="C21:D21"/>
    <mergeCell ref="C22:D22"/>
    <mergeCell ref="C46:D46"/>
    <mergeCell ref="C47:D47"/>
    <mergeCell ref="C48:D48"/>
    <mergeCell ref="C49:D49"/>
    <mergeCell ref="C50:D50"/>
    <mergeCell ref="C51:D51"/>
    <mergeCell ref="C52: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2026-07-24T20:18:55Z</dcterms:created>
  <dc:creator>openpyxl</dc:creator>
  <dc:description/>
  <dc:language>en-US</dc:language>
  <cp:lastModifiedBy>Steven Nikolov</cp:lastModifiedBy>
  <dcterms:modified xsi:type="dcterms:W3CDTF">2026-08-20T22:33:28Z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