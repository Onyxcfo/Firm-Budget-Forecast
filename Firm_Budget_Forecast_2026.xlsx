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Bill Rates" sheetId="1" state="visible" r:id="rId3"/>
    <sheet name="Assumptions" sheetId="2" state="visible" r:id="rId4"/>
    <sheet name="Staff P&amp;L" sheetId="3" state="visible" r:id="rId5"/>
    <sheet name="Monthly Capacity" sheetId="4" state="visible" r:id="rId6"/>
    <sheet name="Budget P&amp;L" sheetId="5" state="visible" r:id="rId7"/>
    <sheet name="Forecast 2026" sheetId="6" state="visible" r:id="rId8"/>
    <sheet name="Owner Earnings" sheetId="7" state="visible" r:id="rId9"/>
    <sheet name="Guide" sheetId="8" state="visible" r:id="rId10"/>
  </sheets>
  <definedNames>
    <definedName function="false" hidden="false" localSheetId="4" name="_xlnm.Print_Titles" vbProcedure="false">'Budget P&amp;L'!$A:$A</definedName>
    <definedName function="false" hidden="false" localSheetId="5" name="_xlnm.Print_Titles" vbProcedure="false">'Forecast 2026'!$A:$A</definedName>
    <definedName function="false" hidden="false" localSheetId="3" name="_xlnm.Print_Titles" vbProcedure="false">'Monthly Capacity'!$A:$A</definedName>
    <definedName function="false" hidden="false" localSheetId="2" name="_xlnm.Print_Titles" vbProcedure="false">'Staff P&amp;L'!$A:$A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Now driven by the real 2026 calendar: 261 weekdays × 8 = 2,088 paid hours.
Previously a flat 1,920 (40 × 4 × 12), which understated the year by ~4 weeks.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5" authorId="0">
      <text>
        <r>
          <rPr>
            <sz val="10"/>
            <rFont val="Arial"/>
            <family val="2"/>
          </rPr>
          <t xml:space="preserve">Only W-2 bonuses hit the payroll lines on the Budget P&amp;L. The contractor's bonus is already inside her fully-loaded cost and reaches the P&amp;L through 'Cost of labor - Contractors'.</t>
        </r>
      </text>
    </comment>
    <comment ref="B18" authorId="0">
      <text>
        <r>
          <rPr>
            <sz val="10"/>
            <rFont val="Arial"/>
            <family val="2"/>
          </rPr>
          <t xml:space="preserve">Target bonus as a percent of that person's annual base compensation.
The owner is excluded by policy, so his target is 0%.</t>
        </r>
      </text>
    </commen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$60/hr. Annual comp = rate x 2,088 paid hrs (Assumptions!B16, from the 2026 calendar).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$35/hr. Annual comp = rate x 2,088 paid hrs (Assumptions!B16, from the 2026 calendar).</t>
        </r>
      </text>
    </comment>
    <comment ref="D10" authorId="0">
      <text>
        <r>
          <rPr>
            <sz val="10"/>
            <rFont val="Arial"/>
            <family val="2"/>
          </rPr>
          <t xml:space="preserve">Bulgaria contractor, $4,200/mo all-in. No US payroll tax and no PEO benefits, so those columns are zero.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D16" authorId="0">
      <text>
        <r>
          <rPr>
            <sz val="10"/>
            <rFont val="Arial"/>
            <family val="2"/>
          </rPr>
          <t xml:space="preserve">Set each quarter independently. 100% pays the target bonus, 0% pays none.
This is what makes the plan discretionary.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I19" authorId="0">
      <text>
        <r>
          <rPr>
            <sz val="10"/>
            <rFont val="Arial"/>
            <family val="2"/>
          </rPr>
          <t xml:space="preserve">Employer Social Security applies only to the part of the bonus that still fits under the wage base once base pay is counted; Medicare applies to all of it. FUTA and SUTA are already maxed out by base pay.</t>
        </r>
      </text>
    </comment>
    <comment ref="I22" authorId="0">
      <text>
        <r>
          <rPr>
            <sz val="10"/>
            <rFont val="Arial"/>
            <family val="2"/>
          </rPr>
          <t xml:space="preserve">Contractor — no US employer payroll tax on additional payments.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M6" authorId="0">
      <text>
        <r>
          <rPr>
            <sz val="10"/>
            <rFont val="Arial"/>
            <family val="2"/>
          </rPr>
          <t xml:space="preserve">Base comp + employer tax + PEO benefits + bonus and its employer tax.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7" authorId="0">
      <text>
        <r>
          <rPr>
            <sz val="10"/>
            <rFont val="Arial"/>
            <family val="2"/>
          </rPr>
          <t xml:space="preserve">Shape when PTO is taken. Defaults to 1/12 per month.
Change these to load PTO into summer / December — the row must total 100%.</t>
        </r>
      </text>
    </comment>
    <comment ref="C10" authorId="0">
      <text>
        <r>
          <rPr>
            <sz val="10"/>
            <rFont val="Arial"/>
            <family val="2"/>
          </rPr>
          <t xml:space="preserve">2026 company holidays (Onyx Handbook, 7 days):
  2026-01-01  New Year's Day
  2026-05-25  Memorial Day
  2026-07-03  Independence Day
  2026-09-07  Labor Day
  2026-11-26  Thanksgiving Day
  2026-12-24  Christmas Eve
  2026-12-25  Christmas Day
Saturday holidays observed Friday; Sunday observed Monday.</t>
        </r>
      </text>
    </comment>
    <comment ref="P22" authorId="0">
      <text>
        <r>
          <rPr>
            <sz val="10"/>
            <rFont val="Arial"/>
            <family val="2"/>
          </rPr>
          <t xml:space="preserve">Admin hrs/mo: non-billable firm admin deducted before billing.
Steven and Josephine are 0 here because their admin time is already
captured by the Billable share % column (50% and 15%).</t>
        </r>
      </text>
    </comment>
    <comment ref="Q22" authorId="0">
      <text>
        <r>
          <rPr>
            <sz val="10"/>
            <rFont val="Arial"/>
            <family val="2"/>
          </rPr>
          <t xml:space="preserve">Billable share of available hours.
Steven 50% (50% client / 50% admin). Josephine 15% billable.
Everyone else 100% of hours remaining after admin and PTO.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Total revenue for the month from Monthly Capacity — driven by that month's working days.</t>
        </r>
      </text>
    </comment>
    <comment ref="B17" authorId="0">
      <text>
        <r>
          <rPr>
            <sz val="10"/>
            <rFont val="Arial"/>
            <family val="2"/>
          </rPr>
          <t xml:space="preserve">Salaried staff at annual/12; hourly staff (Cindi, Christine) at that month's paid hours × pay rate.</t>
        </r>
      </text>
    </comment>
    <comment ref="D15" authorId="0">
      <text>
        <r>
          <rPr>
            <sz val="10"/>
            <rFont val="Arial"/>
            <family val="2"/>
          </rPr>
          <t xml:space="preserve">Quarterly discretionary bonus from the Staff P&amp;L bonus block, paid in March, June, September and December.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Drives Aug–Dec revenue only. Jan–Jul are actual figures and never move.
Set to 91% to carry the year-to-date run-rate forward.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Arial"/>
            <family val="2"/>
          </rPr>
          <t xml:space="preserve">Each row is (this rate - the previous rate) applied to all income above this bracket floor. Individually the rows are NOT the tax due in that bracket; they telescope, so only the SUM is meaningful. That sum equals the standard slab calculation.</t>
        </r>
      </text>
    </comment>
  </commentList>
</comments>
</file>

<file path=xl/sharedStrings.xml><?xml version="1.0" encoding="utf-8"?>
<sst xmlns="http://schemas.openxmlformats.org/spreadsheetml/2006/main" count="587" uniqueCount="492">
  <si>
    <t xml:space="preserve">Onyx Accounting Group, LLC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</si>
  <si>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</si>
  <si>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</si>
  <si>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</si>
  <si>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</si>
  <si>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</si>
  <si>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</si>
  <si>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</si>
  <si>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</si>
  <si>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</si>
  <si>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</si>
  <si>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</si>
  <si>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</si>
  <si>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</si>
  <si>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</si>
  <si>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</si>
  <si>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</si>
  <si>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</si>
  <si>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</si>
  <si>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</si>
  <si>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</si>
  <si>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</si>
  <si>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</si>
  <si>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</si>
  <si>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</si>
  <si>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</si>
  <si>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</si>
  <si>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</si>
  <si>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</si>
  <si>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</si>
  <si>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</si>
  <si>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</si>
  <si>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</si>
  <si>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</si>
  <si>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</si>
  <si>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</si>
  <si>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</si>
  <si>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</si>
  <si>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</si>
  <si>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</si>
  <si>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</si>
  <si>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</si>
  <si>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</si>
  <si>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</si>
  <si>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</si>
  <si>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</si>
  <si>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</si>
  <si>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</si>
  <si>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</si>
  <si>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</si>
  <si>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</si>
  <si>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</si>
  <si>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</si>
  <si>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</si>
  <si>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</si>
  <si>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</si>
  <si>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</si>
  <si>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</si>
  <si>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</si>
  <si>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</si>
  <si>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</si>
  <si>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</si>
  <si>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*actually 225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</si>
  <si>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</si>
  <si>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</si>
  <si>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</si>
  <si>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</si>
  <si>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</si>
  <si>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</si>
  <si>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</si>
  <si>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</si>
  <si>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</si>
  <si>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</si>
  <si>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</si>
  <si>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</si>
  <si>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Legacy flat convention — superseded by the Monthly Capacity calendar</t>
  </si>
  <si>
    <t xml:space="preserve">Gross working hours per month</t>
  </si>
  <si>
    <t xml:space="preserve">40 × 4 = 160 (flat). Real calendar averages 169.3 hrs/mo</t>
  </si>
  <si>
    <t xml:space="preserve">Non-billable admin hours per month</t>
  </si>
  <si>
    <t xml:space="preserve">Per your spec</t>
  </si>
  <si>
    <t xml:space="preserve">Billable-eligible hours per month</t>
  </si>
  <si>
    <t xml:space="preserve">Flat basis only — superseded by Monthly Capacity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</si>
  <si>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</si>
  <si>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</si>
  <si>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</si>
  <si>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</si>
  <si>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</si>
  <si>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Flat basis only — Monthly Capacity handles PTO and holidays by month</t>
  </si>
  <si>
    <t xml:space="preserve">Available billable hrs / mo (100% util)</t>
  </si>
  <si>
    <t xml:space="preserve">Utilization %</t>
  </si>
  <si>
    <t xml:space="preserve">Applies to every person in Monthly Capacity</t>
  </si>
  <si>
    <t xml:space="preserve">Paid hours per year (full-time)</t>
  </si>
  <si>
    <t xml:space="preserve">Weekdays × 8 from the 2026 calendar (2,088) — divisor for hourly pay &amp; loaded cost</t>
  </si>
  <si>
    <t xml:space="preserve">↑ flat-basis block above is legacy; Monthly Capacity is the live driver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</si>
  <si>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</si>
  <si>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</si>
  <si>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</si>
  <si>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</si>
  <si>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</si>
  <si>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</si>
  <si>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</si>
  <si>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</si>
  <si>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</si>
  <si>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</si>
  <si>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</si>
  <si>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</si>
  <si>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</si>
  <si>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</si>
  <si>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</si>
  <si>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</si>
  <si>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</si>
  <si>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</si>
  <si>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</si>
  <si>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</si>
  <si>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</si>
  <si>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</si>
  <si>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</si>
  <si>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</si>
  <si>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</si>
  <si>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</si>
  <si>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</si>
  <si>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</si>
  <si>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</si>
  <si>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</si>
  <si>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 (2,088 from the 2026 calendar).  Hours &amp; revenue now come from the Monthly Capacity tab.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</si>
  <si>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</si>
  <si>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</si>
  <si>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</si>
  <si>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</si>
  <si>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</si>
  <si>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</si>
  <si>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</si>
  <si>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</si>
  <si>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</si>
  <si>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</si>
  <si>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</si>
  <si>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</si>
  <si>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</si>
  <si>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</si>
  <si>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
(incl. bonus)</t>
  </si>
  <si>
    <t xml:space="preserve">Loaded
cost /mo</t>
  </si>
  <si>
    <t xml:space="preserve">Loaded
cost /hr</t>
  </si>
  <si>
    <t xml:space="preserve">Billable hrs
/yr</t>
  </si>
  <si>
    <t xml:space="preserve">Billable hrs
/mo (avg)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</si>
  <si>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</si>
  <si>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</si>
  <si>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</si>
  <si>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</si>
  <si>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</si>
  <si>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</si>
  <si>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</si>
  <si>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</si>
  <si>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</si>
  <si>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</si>
  <si>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</si>
  <si>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</si>
  <si>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</si>
  <si>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</si>
  <si>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</si>
  <si>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</si>
  <si>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</si>
  <si>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</si>
  <si>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</si>
  <si>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QUARTERLY DISCRETIONARY BONUS</t>
  </si>
  <si>
    <t xml:space="preserve">Owner is excluded by policy — set his target to 0%.</t>
  </si>
  <si>
    <t xml:space="preserve">Discretionary payout factor</t>
  </si>
  <si>
    <t xml:space="preserve">← the discretionary lever: 0% pays nothing that quarter, 150% pays one-and-a-half target.</t>
  </si>
  <si>
    <t xml:space="preserve">Target %
of base</t>
  </si>
  <si>
    <t xml:space="preserve">Annual
target</t>
  </si>
  <si>
    <t xml:space="preserve">Q1  (Mar)</t>
  </si>
  <si>
    <t xml:space="preserve">Q2  (Jun)</t>
  </si>
  <si>
    <t xml:space="preserve">Q3  (Sep)</t>
  </si>
  <si>
    <t xml:space="preserve">Q4  (Dec)</t>
  </si>
  <si>
    <t xml:space="preserve">Annual
bonus</t>
  </si>
  <si>
    <t xml:space="preserve">Empl. tax
on bonus</t>
  </si>
  <si>
    <t xml:space="preserve">Total bonus
cost</t>
  </si>
  <si>
    <t xml:space="preserve">TOTAL BONUS  (all)</t>
  </si>
  <si>
    <t xml:space="preserve">of which W-2 payroll  → Budget P&amp;L</t>
  </si>
  <si>
    <t xml:space="preserve">of which contractor  → Cost of labor</t>
  </si>
  <si>
    <t xml:space="preserve">• Bonuses are paid in March, June, September and December. Quarterly amount = annual target ÷ 4 × that quarter's payout factor.</t>
  </si>
  <si>
    <t xml:space="preserve">• Fully-loaded annual cost in column M includes the bonus and its employer tax, so loaded cost per hour and gross profit per person already reflect the plan.</t>
  </si>
  <si>
    <t xml:space="preserve">• The Budget P&amp;L 'Discretionary Bonuses' line and the employer tax on it are driven by the W-2 subtotal. On Forecast 2026 only the September and December payments land in the budget months — March and June are inside the Jan–Jul actuals.</t>
  </si>
  <si>
    <t xml:space="preserve">• Valentina is a contractor, so her bonus is not payroll. It sits inside her fully-loaded cost and reaches the P&amp;L through 'Cost of labor - Contractors', spread evenly across the months rather than in four payments. The annual amount is the same either way.</t>
  </si>
  <si>
    <t xml:space="preserve">• For reference, actual bonuses paid Jan–Jul 2026 were $2,610 for the whole firm — the 5% target here is a placeholder, so set each person's target before relying on the numbers.</t>
  </si>
  <si>
    <t xml:space="preserve">Monthly Capacity — Working Days → Billable Hours → Revenue</t>
  </si>
  <si>
    <t xml:space="preserve">Real 2026 calendar drives the budget. Working days = weekdays − company holidays. Holidays are removed HERE, so never subtract them again downstream.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</si>
  <si>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</si>
  <si>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</si>
  <si>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</si>
  <si>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</si>
  <si>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</si>
  <si>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</si>
  <si>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</si>
  <si>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</si>
  <si>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</si>
  <si>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</si>
  <si>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</si>
  <si>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</si>
  <si>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 / Yr</t>
  </si>
  <si>
    <t xml:space="preserve">1.  CALENDAR</t>
  </si>
  <si>
    <t xml:space="preserve">Calendar days</t>
  </si>
  <si>
    <t xml:space="preserve">Weekdays (Mon–Fri)</t>
  </si>
  <si>
    <t xml:space="preserve">Company holidays</t>
  </si>
  <si>
    <t xml:space="preserve">Working days</t>
  </si>
  <si>
    <t xml:space="preserve">Hours per day</t>
  </si>
  <si>
    <t xml:space="preserve">Gross working hrs / FTE</t>
  </si>
  <si>
    <t xml:space="preserve">Paid hrs / FTE (incl. holidays)</t>
  </si>
  <si>
    <t xml:space="preserve">← drives hourly pay &amp; loaded-cost divisor</t>
  </si>
  <si>
    <t xml:space="preserve">2.  PTO SHAPING   (per-person annual PTO hours are set in block 3)</t>
  </si>
  <si>
    <t xml:space="preserve">PTO distribution % of annual</t>
  </si>
  <si>
    <t xml:space="preserve">must total 100%</t>
  </si>
  <si>
    <t xml:space="preserve">Check: PTO distribution totals 100%</t>
  </si>
  <si>
    <t xml:space="preserve">3.  BILLABLE HOURS BY PERSON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</si>
  <si>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</si>
  <si>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</si>
  <si>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</si>
  <si>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</si>
  <si>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</si>
  <si>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</si>
  <si>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</si>
  <si>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</si>
  <si>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</si>
  <si>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</si>
  <si>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</si>
  <si>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</si>
  <si>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 hrs</t>
  </si>
  <si>
    <t xml:space="preserve">Admin hrs
/mo</t>
  </si>
  <si>
    <t xml:space="preserve">Billable
share %</t>
  </si>
  <si>
    <t xml:space="preserve">Annual PTO
hrs</t>
  </si>
  <si>
    <t xml:space="preserve">Bill rate
$/hr</t>
  </si>
  <si>
    <t xml:space="preserve">Total billable hours</t>
  </si>
  <si>
    <t xml:space="preserve">4.  REVENUE BY PERSON   (billable hours × bill rate)</t>
  </si>
  <si>
    <t xml:space="preserve">TOTAL REVENUE  → Budget P&amp;L</t>
  </si>
  <si>
    <t xml:space="preserve">5.  HOURLY-STAFF WAGE COST   (paid hours × pay rate)</t>
  </si>
  <si>
    <t xml:space="preserve">paid hrs incl. holidays × $/hr</t>
  </si>
  <si>
    <t xml:space="preserve">Total hourly wages</t>
  </si>
  <si>
    <t xml:space="preserve">• Working days = weekdays − company holidays (7/yr per the Onyx Handbook). Holidays are already excluded here, so the model must NOT deduct them again downstream.</t>
  </si>
  <si>
    <t xml:space="preserve">• Billable hours = (gross working hrs − admin hrs − PTO for the month) × billable share × utilization (Assumptions!B15).</t>
  </si>
  <si>
    <t xml:space="preserve">• Paid hours include holidays because the handbook pays them; that is the divisor for hourly wages and loaded cost per hour.</t>
  </si>
  <si>
    <t xml:space="preserve">• 2026 has 254 working days / 2,032 working hours and 261 weekdays / 2,088 paid hours per FTE.</t>
  </si>
  <si>
    <t xml:space="preserve">Budget — Profit and Loss (QuickBooks format)</t>
  </si>
  <si>
    <t xml:space="preserve">January–December 2026 (Forecast)</t>
  </si>
  <si>
    <t xml:space="preserve">Revenue and hourly wages follow the real 2026 working-day calendar (Monthly Capacity tab). Green = linked; blue = input.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</si>
  <si>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</si>
  <si>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</si>
  <si>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</si>
  <si>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</si>
  <si>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</si>
  <si>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</si>
  <si>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</si>
  <si>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</si>
  <si>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</si>
  <si>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</si>
  <si>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</si>
  <si>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</si>
  <si>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</si>
  <si>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</si>
  <si>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</si>
  <si>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</si>
  <si>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</si>
  <si>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</si>
  <si>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</si>
  <si>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</si>
  <si>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</si>
  <si>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</si>
  <si>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</si>
  <si>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</si>
  <si>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</si>
  <si>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</si>
  <si>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</si>
  <si>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</si>
  <si>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</si>
  <si>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</si>
  <si>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</si>
  <si>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</si>
  <si>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</si>
  <si>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</si>
  <si>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</si>
  <si>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</si>
  <si>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</si>
  <si>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</si>
  <si>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IT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</si>
  <si>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</si>
  <si>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</si>
  <si>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</si>
  <si>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</si>
  <si>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</si>
  <si>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</si>
  <si>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</si>
  <si>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</si>
  <si>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</si>
  <si>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</si>
  <si>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</si>
  <si>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</si>
  <si>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</si>
  <si>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</si>
  <si>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</si>
  <si>
    <t xml:space="preserve">Budget &amp; Forecast 2026</t>
  </si>
  <si>
    <t xml:space="preserve">January–July are the actual figures from the QuickBooks P&amp;L (cash basis). August–December are calculated from the budget.</t>
  </si>
  <si>
    <t xml:space="preserve">Utilization  (Aug–Dec only)</t>
  </si>
  <si>
    <t xml:space="preserve">← left: the toggle (edit here or on Assumptions!B15).   right: utilization implied by Jan–Jul actuals — set the toggle to this to carry the actual run-rate forward.</t>
  </si>
  <si>
    <t xml:space="preserve">Total 2026</t>
  </si>
  <si>
    <t xml:space="preserve">ACTUAL</t>
  </si>
  <si>
    <t xml:space="preserve">BUDGET</t>
  </si>
  <si>
    <t xml:space="preserve">INCOME</t>
  </si>
  <si>
    <t xml:space="preserve">    Unapplied Cash Payment Income</t>
  </si>
  <si>
    <t xml:space="preserve">Total Income</t>
  </si>
  <si>
    <t xml:space="preserve">COST OF GOODS SOLD</t>
  </si>
  <si>
    <t xml:space="preserve">    Discretionary Bonuses</t>
  </si>
  <si>
    <t xml:space="preserve">    Holiday Pay</t>
  </si>
  <si>
    <t xml:space="preserve">    Wages</t>
  </si>
  <si>
    <t xml:space="preserve">    Payroll Taxes</t>
  </si>
  <si>
    <t xml:space="preserve">    Benefits - PEO</t>
  </si>
  <si>
    <t xml:space="preserve">Total Cost of Goods Sold</t>
  </si>
  <si>
    <t xml:space="preserve">GROSS PROFIT</t>
  </si>
  <si>
    <t xml:space="preserve">OPERATING EXPENSES</t>
  </si>
  <si>
    <t xml:space="preserve">    PTO-1</t>
  </si>
  <si>
    <t xml:space="preserve">    Unapplied Cash Bill Payment Expense</t>
  </si>
  <si>
    <t xml:space="preserve">Total Operating Expenses</t>
  </si>
  <si>
    <t xml:space="preserve">NET INCOME</t>
  </si>
  <si>
    <t xml:space="preserve">Net margin</t>
  </si>
  <si>
    <t xml:space="preserve">Jan–Jul actual  /  Aug–Dec budget</t>
  </si>
  <si>
    <t xml:space="preserve">← the two halves of the year</t>
  </si>
  <si>
    <t xml:space="preserve">PRO-FORMA — full-year economics</t>
  </si>
  <si>
    <t xml:space="preserve">The Jan–Jul actuals carry no owner compensation, admin salary, PEO benefits or IT, because those are not on the QuickBooks P&amp;L. This restates the full year as if every month bore them.</t>
  </si>
  <si>
    <t xml:space="preserve">Net income per the forecast above</t>
  </si>
  <si>
    <t xml:space="preserve">    Less: Owner compensation, Jan–Jul</t>
  </si>
  <si>
    <t xml:space="preserve">    Less: Admin salary, Jan–Jul</t>
  </si>
  <si>
    <t xml:space="preserve">    Less: Admin payroll taxes, Jan–Jul</t>
  </si>
  <si>
    <t xml:space="preserve">    Less: Admin PEO benefits, Jan–Jul</t>
  </si>
  <si>
    <t xml:space="preserve">    Less: PEO benefits in COGS, Jan–Jul</t>
  </si>
  <si>
    <t xml:space="preserve">    Less: IT, Jan–Jul</t>
  </si>
  <si>
    <t xml:space="preserve">PRO-FORMA NET INCOME  (all costs expensed all year)</t>
  </si>
  <si>
    <t xml:space="preserve">• Blue Jan–Jul figures are typed from the QuickBooks P&amp;L (cash basis). Green Aug–Dec figures are formulas from the Budget P&amp;L tab and move with the utilization toggle.</t>
  </si>
  <si>
    <t xml:space="preserve">• When August closes, type the actual figures over the August column and change its band label to ACTUAL. Nothing else needs touching.</t>
  </si>
  <si>
    <t xml:space="preserve">• Actuals are cash basis and the budget is accrual, so revenue timing is not strictly comparable across the two halves of the year.</t>
  </si>
  <si>
    <t xml:space="preserve">Owner Earnings &amp; Tax — Steven Nikolov, 2026</t>
  </si>
  <si>
    <t xml:space="preserve">Salary, pass-through income and the tax that follows. Yellow cells are inputs — confirm every tax parameter against current IRS and ADOR figures before relying on this.</t>
  </si>
  <si>
    <t xml:space="preserve">NOT TAX ADVICE — a planning model. The rate table below ships with estimates, not filed figures.</t>
  </si>
  <si>
    <t xml:space="preserve">1.  ENTITY &amp; FILING ASSUMPTIONS</t>
  </si>
  <si>
    <t xml:space="preserve">Entity tax treatment</t>
  </si>
  <si>
    <t xml:space="preserve">S-Corporation</t>
  </si>
  <si>
    <t xml:space="preserve">An LLC paying its owner a W-2 salary is taxed as an S-corp. If you are taxed as a partnership, owner pay is a guaranteed payment and is subject to SE tax — this tab would need reworking.</t>
  </si>
  <si>
    <t xml:space="preserve">Filing status</t>
  </si>
  <si>
    <t xml:space="preserve">Married filing jointly</t>
  </si>
  <si>
    <t xml:space="preserve">Drives the bracket table and thresholds below.</t>
  </si>
  <si>
    <t xml:space="preserve">Owner's share of the firm</t>
  </si>
  <si>
    <t xml:space="preserve">Percent of K-1 income allocated to Steven.</t>
  </si>
  <si>
    <t xml:space="preserve">Other household WAGES (spouse W-2)</t>
  </si>
  <si>
    <t xml:space="preserve">Wages only. These count towards the Additional Medicare threshold.</t>
  </si>
  <si>
    <t xml:space="preserve">Other household non-wage income</t>
  </si>
  <si>
    <t xml:space="preserve">Interest, dividends, capital gains. Taxable, but NOT subject to Medicare tax.</t>
  </si>
  <si>
    <t xml:space="preserve">2.  FIRM RESULT  →  OWNER'S K-1</t>
  </si>
  <si>
    <t xml:space="preserve">Firm net income per Forecast 2026</t>
  </si>
  <si>
    <t xml:space="preserve">As forecast: Jan–Jul actual, Aug–Dec budget.</t>
  </si>
  <si>
    <t xml:space="preserve">Add back: owner salary expensed Aug–Dec</t>
  </si>
  <si>
    <t xml:space="preserve">The budget months carry 5/12 of the owner's salary — half in COGS wages, half in operating expenses.</t>
  </si>
  <si>
    <t xml:space="preserve">Add back: employer payroll tax on it, Aug–Dec</t>
  </si>
  <si>
    <t xml:space="preserve">The budget months also expense 5/12 of the employer tax on the owner's wages, across the COGS and admin payroll-tax lines. Without this add-back it would be charged twice.</t>
  </si>
  <si>
    <t xml:space="preserve">Add back: owner salary AND its employer tax inside the Jan–Jul actuals</t>
  </si>
  <si>
    <t xml:space="preserve">Enter salary plus employer payroll tax combined. Both sit inside the actual COGS Wages and Payroll Taxes lines and cannot be identified from a summary P&amp;L. Left at $0 the model assumes Steven drew no salary Jan–Jul.</t>
  </si>
  <si>
    <t xml:space="preserve">Firm profit before owner compensation</t>
  </si>
  <si>
    <t xml:space="preserve">Genuinely before owner salary AND its employer tax — both are removed once, below.</t>
  </si>
  <si>
    <t xml:space="preserve">Less: owner W-2 salary (full year)</t>
  </si>
  <si>
    <t xml:space="preserve">Set on Assumptions!B28. Currently the Social Security wage-base max.</t>
  </si>
  <si>
    <t xml:space="preserve">Less: employer payroll tax on owner salary</t>
  </si>
  <si>
    <t xml:space="preserve">Employer SS, Medicare, FUTA and AZ SUTA on the owner's wages — a company expense, not his.</t>
  </si>
  <si>
    <t xml:space="preserve">K-1 pass-through income to owner</t>
  </si>
  <si>
    <t xml:space="preserve">Taxed on the owner's 1040. NOT subject to self-employment or FICA tax.</t>
  </si>
  <si>
    <t xml:space="preserve">3.  TAX PARAMETERS   (verify before relying on these)</t>
  </si>
  <si>
    <t xml:space="preserve">Standard / itemized deduction</t>
  </si>
  <si>
    <t xml:space="preserve">2026 standard deduction, MFJ — estimate. Replace with your figure.</t>
  </si>
  <si>
    <t xml:space="preserve">Social Security wage base</t>
  </si>
  <si>
    <t xml:space="preserve">2026: $184,500.</t>
  </si>
  <si>
    <t xml:space="preserve">Employee Social Security rate</t>
  </si>
  <si>
    <t xml:space="preserve">Employee Medicare rate</t>
  </si>
  <si>
    <t xml:space="preserve">Additional Medicare rate</t>
  </si>
  <si>
    <t xml:space="preserve">Applies to wages above the threshold below.</t>
  </si>
  <si>
    <t xml:space="preserve">Additional Medicare threshold</t>
  </si>
  <si>
    <t xml:space="preserve">$250,000 MFJ / $200,000 single.</t>
  </si>
  <si>
    <t xml:space="preserve">Arizona income tax rate</t>
  </si>
  <si>
    <t xml:space="preserve">Arizona flat individual rate.</t>
  </si>
  <si>
    <t xml:space="preserve">QBI deduction rate</t>
  </si>
  <si>
    <t xml:space="preserve">Section 199A.</t>
  </si>
  <si>
    <t xml:space="preserve">QBI / SSTB phase-out threshold</t>
  </si>
  <si>
    <t xml:space="preserve">Accounting is a Specified Service Trade or Business, so the deduction phases out above this. MFJ estimate — verify.</t>
  </si>
  <si>
    <t xml:space="preserve">QBI / SSTB phase-out range</t>
  </si>
  <si>
    <t xml:space="preserve">Fully phased out once taxable income exceeds threshold + range.</t>
  </si>
  <si>
    <t xml:space="preserve">4.  FEDERAL BRACKET TABLE   (edit to match the final figures)</t>
  </si>
  <si>
    <t xml:space="preserve">Bracket floor</t>
  </si>
  <si>
    <t xml:space="preserve">Rate</t>
  </si>
  <si>
    <t xml:space="preserve">Incremental rate × income above floor  (rows sum to the tax)</t>
  </si>
  <si>
    <t xml:space="preserve">    bracket 1</t>
  </si>
  <si>
    <t xml:space="preserve">    bracket 2</t>
  </si>
  <si>
    <t xml:space="preserve">    bracket 3</t>
  </si>
  <si>
    <t xml:space="preserve">    bracket 4</t>
  </si>
  <si>
    <t xml:space="preserve">    bracket 5</t>
  </si>
  <si>
    <t xml:space="preserve">    bracket 6</t>
  </si>
  <si>
    <t xml:space="preserve">    bracket 7</t>
  </si>
  <si>
    <t xml:space="preserve">Federal income tax</t>
  </si>
  <si>
    <t xml:space="preserve">5.  OWNER'S TAXABLE INCOME</t>
  </si>
  <si>
    <t xml:space="preserve">W-2 salary</t>
  </si>
  <si>
    <t xml:space="preserve">K-1 pass-through income</t>
  </si>
  <si>
    <t xml:space="preserve">Other household wages</t>
  </si>
  <si>
    <t xml:space="preserve">Total income</t>
  </si>
  <si>
    <t xml:space="preserve">Less: standard / itemized deduction</t>
  </si>
  <si>
    <t xml:space="preserve">Taxable income before QBI</t>
  </si>
  <si>
    <t xml:space="preserve">QBI phase-out — applicable percentage</t>
  </si>
  <si>
    <t xml:space="preserve">Accounting is an SSTB: 100% means the deduction is fully available, 0% means fully phased out.</t>
  </si>
  <si>
    <t xml:space="preserve">QBI deduction</t>
  </si>
  <si>
    <t xml:space="preserve">20% of qualified business income, reduced by the SSTB phase-out and capped at 20% of taxable income.</t>
  </si>
  <si>
    <t xml:space="preserve">TAXABLE INCOME</t>
  </si>
  <si>
    <t xml:space="preserve">6.  TOTAL TAX</t>
  </si>
  <si>
    <t xml:space="preserve">Employee Social Security</t>
  </si>
  <si>
    <t xml:space="preserve">Withheld from the owner's paycheck. The company separately pays a matching SS and Medicare amount plus FUTA and AZ SUTA — that is the employer tax line in section 2.</t>
  </si>
  <si>
    <t xml:space="preserve">Employee Medicare</t>
  </si>
  <si>
    <t xml:space="preserve">Additional Medicare</t>
  </si>
  <si>
    <t xml:space="preserve">Wages only. Investment income is outside the Medicare base (that is NIIT territory).</t>
  </si>
  <si>
    <t xml:space="preserve">Arizona income tax</t>
  </si>
  <si>
    <t xml:space="preserve">Flat rate applied to federal taxable income — approximate.</t>
  </si>
  <si>
    <t xml:space="preserve">TOTAL TAX</t>
  </si>
  <si>
    <t xml:space="preserve">Effective rate on total income</t>
  </si>
  <si>
    <t xml:space="preserve">7.  CASH TO OWNER</t>
  </si>
  <si>
    <t xml:space="preserve">K-1 income available to distribute</t>
  </si>
  <si>
    <t xml:space="preserve">Cash only to the extent the firm actually distributes it.</t>
  </si>
  <si>
    <t xml:space="preserve">Total pre-tax cash</t>
  </si>
  <si>
    <t xml:space="preserve">Less: total tax</t>
  </si>
  <si>
    <t xml:space="preserve">NET AFTER-TAX CASH TO OWNER</t>
  </si>
  <si>
    <t xml:space="preserve">Income tax (federal + Arizona)</t>
  </si>
  <si>
    <t xml:space="preserve">Total tax less the FICA already withheld from payroll. This is what estimates must cover.</t>
  </si>
  <si>
    <t xml:space="preserve">Quarterly estimated payment</t>
  </si>
  <si>
    <t xml:space="preserve">Income tax spread over four quarters. Reduce it by any federal or state income tax already withheld from the owner's salary.</t>
  </si>
  <si>
    <t xml:space="preserve">Distribution to cover the tax on K-1 income</t>
  </si>
  <si>
    <t xml:space="preserve">The K-1's pro-rata share of the income tax — the part the salary does not fund. Keep at least this much distributable so the owner is not paying firm tax out of pocket.</t>
  </si>
  <si>
    <t xml:space="preserve">HOW TO READ THIS</t>
  </si>
  <si>
    <t xml:space="preserve">• The firm's net income is not the owner's income. Salary is taxed as wages and carries FICA; the rest reaches the 1040 through the K-1 without FICA. That split is the whole point of the S-corp election.</t>
  </si>
  <si>
    <t xml:space="preserve">• Setting salary at the Social Security wage base maximises the wages subject to SS while leaving every additional dollar of profit free of it. Above the base only Medicare continues.</t>
  </si>
  <si>
    <t xml:space="preserve">• Accounting is a Specified Service Trade or Business, so the 20% QBI deduction phases out as income rises. Watch the applicable percentage in section 5 — at this income level it is partly or entirely gone.</t>
  </si>
  <si>
    <t xml:space="preserve">• Raising the owner's salary lowers K-1 income roughly dollar for dollar but adds employer and employee Medicare on the way through, so total tax rises. Lowering it below reasonable compensation invites an IRS challenge.</t>
  </si>
  <si>
    <t xml:space="preserve">• State tax is modelled as Arizona's flat rate on federal taxable income. Arizona starts from federal AGI with its own adjustments, so treat this as an approximation.</t>
  </si>
  <si>
    <t xml:space="preserve">Firm Budget &amp; Forecast — 2026</t>
  </si>
  <si>
    <t xml:space="preserve">Updated 2026-08-07  •  Actuals through July blended with budget for the balance of 2026</t>
  </si>
  <si>
    <t xml:space="preserve">START HERE</t>
  </si>
  <si>
    <t xml:space="preserve">Forecast 2026</t>
  </si>
  <si>
    <t xml:space="preserve">The budget: January-July actual figures from the QuickBooks P&amp;L, August-December calculated.</t>
  </si>
  <si>
    <t xml:space="preserve">Monthly roll-forward</t>
  </si>
  <si>
    <t xml:space="preserve">When a month closes, type its actual figures over that month's column on Forecast 2026 and change the band label from BUDGET to ACTUAL.</t>
  </si>
  <si>
    <t xml:space="preserve">Utilization toggle</t>
  </si>
  <si>
    <t xml:space="preserve">Assumptions!B15, mirrored on Forecast 2026. Moves the Aug-Dec budget months only. Jan-Jul actuals imply about 91%.</t>
  </si>
  <si>
    <t xml:space="preserve">THE TABS</t>
  </si>
  <si>
    <t xml:space="preserve">1. Bill Rates</t>
  </si>
  <si>
    <t xml:space="preserve">2026 bill rate per client. The blended average of the 42 priced clients ($250.00 / $153.21 / $96.31) drives the model.</t>
  </si>
  <si>
    <t xml:space="preserve">2. Assumptions</t>
  </si>
  <si>
    <t xml:space="preserve">Every lever: hours, PTO, utilization, employer tax rates, owner comp. The flat 'hours × 4 weeks' block is legacy and feeds nothing.</t>
  </si>
  <si>
    <t xml:space="preserve">3. Staff P&amp;L</t>
  </si>
  <si>
    <t xml:space="preserve">Pay + full labor burden (AZ/US employer tax + PEO benefits) → loaded cost per hour and gross profit per person.</t>
  </si>
  <si>
    <t xml:space="preserve">4. Monthly Capacity</t>
  </si>
  <si>
    <t xml:space="preserve">Real 2026 calendar: weekdays − holidays = working days → billable hours per person per month → revenue. Also drives hourly wage cost.</t>
  </si>
  <si>
    <t xml:space="preserve">5. Budget P&amp;L</t>
  </si>
  <si>
    <t xml:space="preserve">Pure budget, all 12 months, at the utilization you set. This is the 'full capacity' plan.</t>
  </si>
  <si>
    <t xml:space="preserve">6. Forecast 2026</t>
  </si>
  <si>
    <t xml:space="preserve">THE BUDGET. Jan-Jul are the actual P&amp;L figures; Aug-Dec are calculated from the budget. Includes a pro-forma restating the year with all costs expensed.</t>
  </si>
  <si>
    <t xml:space="preserve">COLOR LEGEND</t>
  </si>
  <si>
    <t xml:space="preserve">Blue text on yellow</t>
  </si>
  <si>
    <t xml:space="preserve">Input you can change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</si>
  <si>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</si>
  <si>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</si>
  <si>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</si>
  <si>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</si>
  <si>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Forecast 2026 month taken from the QuickBooks P&amp;L</t>
  </si>
  <si>
    <t xml:space="preserve">Forecast 2026 month calculated from the budget</t>
  </si>
  <si>
    <t xml:space="preserve">KEY OUTPUTS — FORECAST 2026  (Jan-Jul actual + Aug-Dec budget)</t>
  </si>
  <si>
    <t xml:space="preserve">Total revenue</t>
  </si>
  <si>
    <t xml:space="preserve">Total COGS</t>
  </si>
  <si>
    <t xml:space="preserve">Gross profit</t>
  </si>
  <si>
    <t xml:space="preserve">Total operating expenses</t>
  </si>
  <si>
    <t xml:space="preserve">NET INCOME (as reported basis)</t>
  </si>
  <si>
    <t xml:space="preserve">Pro-forma net income (all costs expensed)</t>
  </si>
  <si>
    <t xml:space="preserve">Owner salary (Steven, = SS max)</t>
  </si>
  <si>
    <t xml:space="preserve">Utilization setting</t>
  </si>
  <si>
    <t xml:space="preserve">Utilization implied by Jan-Jul actuals</t>
  </si>
  <si>
    <t xml:space="preserve">Working days in 2026</t>
  </si>
  <si>
    <t xml:space="preserve">SOURCES &amp; POLICY NOTES</t>
  </si>
  <si>
    <t xml:space="preserve">•</t>
  </si>
  <si>
    <t xml:space="preserve">Actuals: Onyx Accounting Group LLC Profit and Loss, Jan–Jul 2026 — CASH BASIS per the QuickBooks footer. The budget is accrual; switch the actuals to accrual when you are ready.</t>
  </si>
  <si>
    <t xml:space="preserve">The Jan-Jul actual months carry no owner compensation, admin salary, PEO benefits or IT, because those are not on the QuickBooks P&amp;L. The pro-forma block on Forecast 2026 restates the year with them.</t>
  </si>
  <si>
    <t xml:space="preserve">Bill rates: Clients Billing Rates Master Sheet 2026 — blended average of the 42 priced clients.</t>
  </si>
  <si>
    <t xml:space="preserve">Salaries / pay: Cost Sheet.xlsx. Steven $184,500 = 2026 Social Security wage-base max. Valentina is a $4,200/mo Bulgaria contractor — no US payroll tax or PEO.</t>
  </si>
  <si>
    <t xml:space="preserve">PTO 80 hrs/yr and 7 paid holidays — Onyx Handbook. Holidays are excluded once, on Monthly Capacity, so they are never deducted twice.</t>
  </si>
  <si>
    <t xml:space="preserve">2026 calendar: 261 weekdays, 7 holidays, 254 working days = 2,032 working hrs and 2,088 paid hrs per FTE.</t>
  </si>
  <si>
    <t xml:space="preserve">Benefits: $800/mo per employee placeholder on Staff P&amp;L — replace with the PEO quote for insurance + 401(k).</t>
  </si>
  <si>
    <t xml:space="preserve">Aug-Dec OpEx defaults are H1-2026 monthly averages (the one-time $30k reimbursement excluded). Review them before relying on the back half of the year.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</si>
</sst>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General"/>
    <numFmt numFmtId="167" formatCode="#,##0"/>
    <numFmt numFmtId="168" formatCode="#,##0.0"/>
    <numFmt numFmtId="169" formatCode="0.0%"/>
    <numFmt numFmtId="170" formatCode="\$#,##0;&quot;($&quot;#,##0\);\-"/>
    <numFmt numFmtId="171" formatCode="0.00%"/>
    <numFmt numFmtId="172" formatCode="\$#,##0;&quot;($&quot;#,##0\);\-"/>
    <numFmt numFmtId="173" formatCode="\$#,##0.00;&quot;($&quot;#,##0.00\);\-"/>
    <numFmt numFmtId="174" formatCode="@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b val="true"/>
      <sz val="12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808080"/>
      <name val="Arial"/>
      <family val="2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6"/>
      <color rgb="FF1F3864"/>
      <name val="Arial"/>
      <family val="2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4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5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3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3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4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3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D60" activeCellId="0" sqref="D60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5" min="3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5" customFormat="false" ht="14.25" hidden="false" customHeight="false" outlineLevel="0" collapsed="false">
      <c r="A5" s="4" t="s">
        <v>3</v>
      </c>
      <c r="B5" s="4" t="s">
        <v>4</v>
      </c>
      <c r="C5" s="5" t="s">
        <v>5</v>
      </c>
      <c r="D5" s="5" t="s">
        <v>6</v>
      </c>
      <c r="E5" s="5" t="s">
        <v>7</v>
      </c>
    </row>
    <row r="6" customFormat="false" ht="14.25" hidden="false" customHeight="false" outlineLevel="0" collapsed="false">
      <c r="A6" s="6" t="s">
        <v>8</v>
      </c>
      <c r="B6" s="7" t="s">
        <v>9</v>
      </c>
      <c r="C6" s="8" t="n">
        <v>250</v>
      </c>
      <c r="D6" s="8" t="n">
        <v>145</v>
      </c>
      <c r="E6" s="8" t="n">
        <v>95</v>
      </c>
    </row>
    <row r="7" customFormat="false" ht="14.25" hidden="false" customHeight="false" outlineLevel="0" collapsed="false">
      <c r="A7" s="7"/>
      <c r="B7" s="7" t="s">
        <v>10</v>
      </c>
      <c r="C7" s="8" t="n">
        <v>250</v>
      </c>
      <c r="D7" s="8" t="n">
        <v>145</v>
      </c>
      <c r="E7" s="8" t="n">
        <v>95</v>
      </c>
    </row>
    <row r="8" customFormat="false" ht="14.25" hidden="false" customHeight="false" outlineLevel="0" collapsed="false">
      <c r="A8" s="7"/>
      <c r="B8" s="7" t="s">
        <v>11</v>
      </c>
      <c r="C8" s="8" t="n">
        <v>250</v>
      </c>
      <c r="D8" s="8" t="n">
        <v>145</v>
      </c>
      <c r="E8" s="8" t="n">
        <v>95</v>
      </c>
    </row>
    <row r="9" customFormat="false" ht="14.25" hidden="false" customHeight="false" outlineLevel="0" collapsed="false">
      <c r="A9" s="7"/>
      <c r="B9" s="7" t="s">
        <v>12</v>
      </c>
      <c r="C9" s="8" t="n">
        <v>250</v>
      </c>
      <c r="D9" s="8" t="n">
        <v>145</v>
      </c>
      <c r="E9" s="8" t="n">
        <v>95</v>
      </c>
    </row>
    <row r="10" customFormat="false" ht="14.25" hidden="false" customHeight="false" outlineLevel="0" collapsed="false">
      <c r="A10" s="7"/>
      <c r="B10" s="7" t="s">
        <v>13</v>
      </c>
      <c r="C10" s="8" t="n">
        <v>250</v>
      </c>
      <c r="D10" s="8" t="n">
        <v>145</v>
      </c>
      <c r="E10" s="8" t="n">
        <v>95</v>
      </c>
    </row>
    <row r="11" customFormat="false" ht="14.25" hidden="false" customHeight="false" outlineLevel="0" collapsed="false">
      <c r="A11" s="7"/>
      <c r="B11" s="7" t="s">
        <v>14</v>
      </c>
      <c r="C11" s="8" t="n">
        <v>250</v>
      </c>
      <c r="D11" s="8" t="n">
        <v>145</v>
      </c>
      <c r="E11" s="8" t="n">
        <v>95</v>
      </c>
    </row>
    <row r="12" customFormat="false" ht="14.25" hidden="false" customHeight="false" outlineLevel="0" collapsed="false">
      <c r="A12" s="7"/>
      <c r="B12" s="7" t="s">
        <v>15</v>
      </c>
      <c r="C12" s="8" t="n">
        <v>250</v>
      </c>
      <c r="D12" s="8" t="n">
        <v>145</v>
      </c>
      <c r="E12" s="8" t="n">
        <v>95</v>
      </c>
    </row>
    <row r="13" customFormat="false" ht="14.25" hidden="false" customHeight="false" outlineLevel="0" collapsed="false">
      <c r="A13" s="7"/>
      <c r="B13" s="7" t="s">
        <v>16</v>
      </c>
      <c r="C13" s="8" t="n">
        <v>250</v>
      </c>
      <c r="D13" s="8" t="n">
        <v>145</v>
      </c>
      <c r="E13" s="8" t="n">
        <v>95</v>
      </c>
    </row>
    <row r="14" customFormat="false" ht="14.25" hidden="false" customHeight="false" outlineLevel="0" collapsed="false">
      <c r="A14" s="7"/>
      <c r="B14" s="7" t="s">
        <v>17</v>
      </c>
      <c r="C14" s="8" t="n">
        <v>250</v>
      </c>
      <c r="D14" s="8" t="n">
        <v>145</v>
      </c>
      <c r="E14" s="8" t="n">
        <v>95</v>
      </c>
    </row>
    <row r="15" customFormat="false" ht="14.25" hidden="false" customHeight="false" outlineLevel="0" collapsed="false">
      <c r="A15" s="7"/>
      <c r="B15" s="7" t="s">
        <v>18</v>
      </c>
      <c r="C15" s="8" t="n">
        <v>250</v>
      </c>
      <c r="D15" s="8" t="n">
        <v>145</v>
      </c>
      <c r="E15" s="8" t="n">
        <v>95</v>
      </c>
    </row>
    <row r="16" customFormat="false" ht="14.25" hidden="false" customHeight="false" outlineLevel="0" collapsed="false">
      <c r="A16" s="7"/>
      <c r="B16" s="7" t="s">
        <v>19</v>
      </c>
      <c r="C16" s="8" t="n">
        <v>250</v>
      </c>
      <c r="D16" s="8" t="n">
        <v>145</v>
      </c>
      <c r="E16" s="8" t="n">
        <v>95</v>
      </c>
    </row>
    <row r="17" customFormat="false" ht="14.25" hidden="false" customHeight="false" outlineLevel="0" collapsed="false">
      <c r="A17" s="7"/>
      <c r="B17" s="7" t="s">
        <v>20</v>
      </c>
      <c r="C17" s="8" t="n">
        <v>250</v>
      </c>
      <c r="D17" s="8" t="n">
        <v>145</v>
      </c>
      <c r="E17" s="8" t="n">
        <v>95</v>
      </c>
    </row>
    <row r="18" customFormat="false" ht="14.25" hidden="false" customHeight="false" outlineLevel="0" collapsed="false">
      <c r="A18" s="7"/>
      <c r="B18" s="7" t="s">
        <v>21</v>
      </c>
      <c r="C18" s="8" t="n">
        <v>250</v>
      </c>
      <c r="D18" s="8" t="n">
        <v>145</v>
      </c>
      <c r="E18" s="8" t="n">
        <v>95</v>
      </c>
    </row>
    <row r="19" customFormat="false" ht="14.25" hidden="false" customHeight="false" outlineLevel="0" collapsed="false">
      <c r="A19" s="6" t="s">
        <v>22</v>
      </c>
      <c r="B19" s="7" t="s">
        <v>23</v>
      </c>
      <c r="C19" s="8" t="n">
        <v>250</v>
      </c>
      <c r="D19" s="8" t="n">
        <v>145</v>
      </c>
      <c r="E19" s="8" t="n">
        <v>95</v>
      </c>
    </row>
    <row r="20" customFormat="false" ht="14.25" hidden="false" customHeight="false" outlineLevel="0" collapsed="false">
      <c r="A20" s="7"/>
      <c r="B20" s="7" t="s">
        <v>24</v>
      </c>
      <c r="C20" s="8" t="n">
        <v>250</v>
      </c>
      <c r="D20" s="8" t="n">
        <v>145</v>
      </c>
      <c r="E20" s="8" t="n">
        <v>95</v>
      </c>
    </row>
    <row r="21" customFormat="false" ht="14.25" hidden="false" customHeight="false" outlineLevel="0" collapsed="false">
      <c r="A21" s="7"/>
      <c r="B21" s="7" t="s">
        <v>25</v>
      </c>
      <c r="C21" s="8" t="n">
        <v>250</v>
      </c>
      <c r="D21" s="8" t="n">
        <v>145</v>
      </c>
      <c r="E21" s="8" t="n">
        <v>95</v>
      </c>
    </row>
    <row r="22" customFormat="false" ht="14.25" hidden="false" customHeight="false" outlineLevel="0" collapsed="false">
      <c r="A22" s="7"/>
      <c r="B22" s="7" t="s">
        <v>26</v>
      </c>
      <c r="C22" s="8" t="n">
        <v>250</v>
      </c>
      <c r="D22" s="8" t="n">
        <v>145</v>
      </c>
      <c r="E22" s="8" t="n">
        <v>95</v>
      </c>
    </row>
    <row r="23" customFormat="false" ht="14.25" hidden="false" customHeight="false" outlineLevel="0" collapsed="false">
      <c r="A23" s="7"/>
      <c r="B23" s="7" t="s">
        <v>27</v>
      </c>
      <c r="C23" s="8" t="n">
        <v>250</v>
      </c>
      <c r="D23" s="8" t="n">
        <v>145</v>
      </c>
      <c r="E23" s="8" t="n">
        <v>95</v>
      </c>
    </row>
    <row r="24" customFormat="false" ht="14.25" hidden="false" customHeight="false" outlineLevel="0" collapsed="false">
      <c r="A24" s="7"/>
      <c r="B24" s="7" t="s">
        <v>28</v>
      </c>
      <c r="C24" s="8" t="n">
        <v>250</v>
      </c>
      <c r="D24" s="8" t="n">
        <v>145</v>
      </c>
      <c r="E24" s="8" t="n">
        <v>95</v>
      </c>
    </row>
    <row r="25" customFormat="false" ht="14.25" hidden="false" customHeight="false" outlineLevel="0" collapsed="false">
      <c r="A25" s="7"/>
      <c r="B25" s="7" t="s">
        <v>29</v>
      </c>
      <c r="C25" s="8" t="n">
        <v>250</v>
      </c>
      <c r="D25" s="8" t="n">
        <v>145</v>
      </c>
      <c r="E25" s="8" t="n">
        <v>95</v>
      </c>
    </row>
    <row r="26" customFormat="false" ht="14.25" hidden="false" customHeight="false" outlineLevel="0" collapsed="false">
      <c r="A26" s="7"/>
      <c r="B26" s="7" t="s">
        <v>30</v>
      </c>
      <c r="C26" s="8" t="n">
        <v>250</v>
      </c>
      <c r="D26" s="8" t="n">
        <v>145</v>
      </c>
      <c r="E26" s="8" t="n">
        <v>95</v>
      </c>
    </row>
    <row r="27" customFormat="false" ht="14.25" hidden="false" customHeight="false" outlineLevel="0" collapsed="false">
      <c r="A27" s="7"/>
      <c r="B27" s="7" t="s">
        <v>31</v>
      </c>
      <c r="C27" s="8" t="n">
        <v>250</v>
      </c>
      <c r="D27" s="8" t="n">
        <v>145</v>
      </c>
      <c r="E27" s="8" t="n">
        <v>95</v>
      </c>
    </row>
    <row r="28" customFormat="false" ht="14.25" hidden="false" customHeight="false" outlineLevel="0" collapsed="false">
      <c r="A28" s="7"/>
      <c r="B28" s="7" t="s">
        <v>32</v>
      </c>
      <c r="C28" s="8" t="n">
        <v>250</v>
      </c>
      <c r="D28" s="8" t="n">
        <v>145</v>
      </c>
      <c r="E28" s="8" t="n">
        <v>95</v>
      </c>
    </row>
    <row r="29" customFormat="false" ht="14.25" hidden="false" customHeight="false" outlineLevel="0" collapsed="false">
      <c r="A29" s="7"/>
      <c r="B29" s="7" t="s">
        <v>33</v>
      </c>
      <c r="C29" s="8" t="n">
        <v>250</v>
      </c>
      <c r="D29" s="8" t="n">
        <v>145</v>
      </c>
      <c r="E29" s="8" t="n">
        <v>95</v>
      </c>
    </row>
    <row r="30" customFormat="false" ht="14.25" hidden="false" customHeight="false" outlineLevel="0" collapsed="false">
      <c r="A30" s="7"/>
      <c r="B30" s="7" t="s">
        <v>34</v>
      </c>
      <c r="C30" s="8" t="n">
        <v>250</v>
      </c>
      <c r="D30" s="8" t="n">
        <v>145</v>
      </c>
      <c r="E30" s="8" t="n">
        <v>95</v>
      </c>
    </row>
    <row r="31" customFormat="false" ht="14.25" hidden="false" customHeight="false" outlineLevel="0" collapsed="false">
      <c r="A31" s="7"/>
      <c r="B31" s="7" t="s">
        <v>35</v>
      </c>
      <c r="C31" s="8" t="n">
        <v>250</v>
      </c>
      <c r="D31" s="8" t="n">
        <v>145</v>
      </c>
      <c r="E31" s="8" t="n">
        <v>95</v>
      </c>
    </row>
    <row r="32" customFormat="false" ht="14.25" hidden="false" customHeight="false" outlineLevel="0" collapsed="false">
      <c r="A32" s="7"/>
      <c r="B32" s="7" t="s">
        <v>36</v>
      </c>
      <c r="C32" s="8" t="n">
        <v>250</v>
      </c>
      <c r="D32" s="8" t="n">
        <v>145</v>
      </c>
      <c r="E32" s="8" t="n">
        <v>95</v>
      </c>
    </row>
    <row r="33" customFormat="false" ht="14.25" hidden="false" customHeight="false" outlineLevel="0" collapsed="false">
      <c r="A33" s="7"/>
      <c r="B33" s="7" t="s">
        <v>37</v>
      </c>
      <c r="C33" s="8" t="n">
        <v>250</v>
      </c>
      <c r="D33" s="8" t="n">
        <v>145</v>
      </c>
      <c r="E33" s="8" t="n">
        <v>95</v>
      </c>
    </row>
    <row r="34" customFormat="false" ht="14.25" hidden="false" customHeight="false" outlineLevel="0" collapsed="false">
      <c r="A34" s="7"/>
      <c r="B34" s="7" t="s">
        <v>38</v>
      </c>
      <c r="C34" s="8" t="n">
        <v>250</v>
      </c>
      <c r="D34" s="8" t="n">
        <v>145</v>
      </c>
      <c r="E34" s="8" t="n">
        <v>95</v>
      </c>
    </row>
    <row r="35" customFormat="false" ht="14.25" hidden="false" customHeight="false" outlineLevel="0" collapsed="false">
      <c r="A35" s="6" t="s">
        <v>39</v>
      </c>
      <c r="B35" s="7" t="s">
        <v>40</v>
      </c>
      <c r="C35" s="8" t="n">
        <v>250</v>
      </c>
      <c r="D35" s="8" t="n">
        <v>175</v>
      </c>
      <c r="E35" s="8" t="n">
        <v>100</v>
      </c>
    </row>
    <row r="36" customFormat="false" ht="14.25" hidden="false" customHeight="false" outlineLevel="0" collapsed="false">
      <c r="A36" s="7"/>
      <c r="B36" s="7" t="s">
        <v>41</v>
      </c>
      <c r="C36" s="7"/>
      <c r="D36" s="7"/>
      <c r="E36" s="7"/>
    </row>
    <row r="37" customFormat="false" ht="14.25" hidden="false" customHeight="false" outlineLevel="0" collapsed="false">
      <c r="A37" s="7"/>
      <c r="B37" s="7" t="s">
        <v>42</v>
      </c>
      <c r="C37" s="7"/>
      <c r="D37" s="7"/>
      <c r="E37" s="7"/>
    </row>
    <row r="38" customFormat="false" ht="14.25" hidden="false" customHeight="false" outlineLevel="0" collapsed="false">
      <c r="A38" s="7"/>
      <c r="B38" s="7" t="s">
        <v>43</v>
      </c>
      <c r="C38" s="7"/>
      <c r="D38" s="7"/>
      <c r="E38" s="7"/>
    </row>
    <row r="39" customFormat="false" ht="14.25" hidden="false" customHeight="false" outlineLevel="0" collapsed="false">
      <c r="A39" s="6" t="s">
        <v>44</v>
      </c>
      <c r="B39" s="7" t="s">
        <v>45</v>
      </c>
      <c r="C39" s="8" t="n">
        <v>250</v>
      </c>
      <c r="D39" s="8" t="n">
        <v>185</v>
      </c>
      <c r="E39" s="8" t="n">
        <v>100</v>
      </c>
    </row>
    <row r="40" customFormat="false" ht="14.25" hidden="false" customHeight="false" outlineLevel="0" collapsed="false">
      <c r="A40" s="7"/>
      <c r="B40" s="7" t="s">
        <v>46</v>
      </c>
      <c r="C40" s="7"/>
      <c r="D40" s="7"/>
      <c r="E40" s="7"/>
    </row>
    <row r="41" customFormat="false" ht="14.25" hidden="false" customHeight="false" outlineLevel="0" collapsed="false">
      <c r="A41" s="7"/>
      <c r="B41" s="7" t="s">
        <v>47</v>
      </c>
      <c r="C41" s="7"/>
      <c r="D41" s="7"/>
      <c r="E41" s="7"/>
    </row>
    <row r="42" customFormat="false" ht="14.25" hidden="false" customHeight="false" outlineLevel="0" collapsed="false">
      <c r="A42" s="6" t="s">
        <v>48</v>
      </c>
      <c r="B42" s="7" t="s">
        <v>49</v>
      </c>
      <c r="C42" s="7"/>
      <c r="D42" s="7"/>
      <c r="E42" s="7"/>
    </row>
    <row r="43" customFormat="false" ht="14.25" hidden="false" customHeight="false" outlineLevel="0" collapsed="false">
      <c r="A43" s="7"/>
      <c r="B43" s="7" t="s">
        <v>50</v>
      </c>
      <c r="C43" s="8" t="n">
        <v>250</v>
      </c>
      <c r="D43" s="8" t="n">
        <v>145</v>
      </c>
      <c r="E43" s="8" t="n">
        <v>95</v>
      </c>
    </row>
    <row r="44" customFormat="false" ht="14.25" hidden="false" customHeight="false" outlineLevel="0" collapsed="false">
      <c r="A44" s="7"/>
      <c r="B44" s="7" t="s">
        <v>51</v>
      </c>
      <c r="C44" s="8" t="n">
        <v>250</v>
      </c>
      <c r="D44" s="8" t="n">
        <v>195</v>
      </c>
      <c r="E44" s="8" t="n">
        <v>105</v>
      </c>
    </row>
    <row r="45" customFormat="false" ht="14.25" hidden="false" customHeight="false" outlineLevel="0" collapsed="false">
      <c r="A45" s="7"/>
      <c r="B45" s="7" t="s">
        <v>52</v>
      </c>
      <c r="C45" s="8" t="n">
        <v>250</v>
      </c>
      <c r="D45" s="8" t="n">
        <v>160</v>
      </c>
      <c r="E45" s="8" t="n">
        <v>95</v>
      </c>
    </row>
    <row r="46" customFormat="false" ht="14.25" hidden="false" customHeight="false" outlineLevel="0" collapsed="false">
      <c r="A46" s="7"/>
      <c r="B46" s="7" t="s">
        <v>53</v>
      </c>
      <c r="C46" s="7"/>
      <c r="D46" s="7"/>
      <c r="E46" s="7"/>
    </row>
    <row r="47" customFormat="false" ht="14.25" hidden="false" customHeight="false" outlineLevel="0" collapsed="false">
      <c r="A47" s="7"/>
      <c r="B47" s="7" t="s">
        <v>54</v>
      </c>
      <c r="C47" s="7"/>
      <c r="D47" s="7"/>
      <c r="E47" s="7"/>
    </row>
    <row r="48" customFormat="false" ht="14.25" hidden="false" customHeight="false" outlineLevel="0" collapsed="false">
      <c r="A48" s="7"/>
      <c r="B48" s="7" t="s">
        <v>55</v>
      </c>
      <c r="C48" s="7"/>
      <c r="D48" s="7"/>
      <c r="E48" s="7"/>
    </row>
    <row r="49" customFormat="false" ht="14.25" hidden="false" customHeight="false" outlineLevel="0" collapsed="false">
      <c r="A49" s="7"/>
      <c r="B49" s="7" t="s">
        <v>56</v>
      </c>
      <c r="C49" s="8" t="n">
        <v>250</v>
      </c>
      <c r="D49" s="8" t="n">
        <v>175</v>
      </c>
      <c r="E49" s="8" t="n">
        <v>95</v>
      </c>
    </row>
    <row r="50" customFormat="false" ht="14.25" hidden="false" customHeight="false" outlineLevel="0" collapsed="false">
      <c r="A50" s="7"/>
      <c r="B50" s="7" t="s">
        <v>57</v>
      </c>
      <c r="C50" s="8" t="n">
        <v>250</v>
      </c>
      <c r="D50" s="8" t="n">
        <v>150</v>
      </c>
      <c r="E50" s="8" t="n">
        <v>95</v>
      </c>
    </row>
    <row r="51" customFormat="false" ht="14.25" hidden="false" customHeight="false" outlineLevel="0" collapsed="false">
      <c r="A51" s="7"/>
      <c r="B51" s="7" t="s">
        <v>58</v>
      </c>
      <c r="C51" s="7"/>
      <c r="D51" s="7"/>
      <c r="E51" s="7"/>
    </row>
    <row r="52" customFormat="false" ht="14.25" hidden="false" customHeight="false" outlineLevel="0" collapsed="false">
      <c r="A52" s="7"/>
      <c r="B52" s="7" t="s">
        <v>59</v>
      </c>
      <c r="C52" s="7"/>
      <c r="D52" s="7"/>
      <c r="E52" s="7"/>
    </row>
    <row r="53" customFormat="false" ht="14.25" hidden="false" customHeight="false" outlineLevel="0" collapsed="false">
      <c r="A53" s="7"/>
      <c r="B53" s="7" t="s">
        <v>60</v>
      </c>
      <c r="C53" s="8" t="n">
        <v>250</v>
      </c>
      <c r="D53" s="8" t="n">
        <v>175</v>
      </c>
      <c r="E53" s="8" t="n">
        <v>95</v>
      </c>
    </row>
    <row r="54" customFormat="false" ht="14.25" hidden="false" customHeight="false" outlineLevel="0" collapsed="false">
      <c r="A54" s="7"/>
      <c r="B54" s="7" t="s">
        <v>61</v>
      </c>
      <c r="C54" s="9" t="n">
        <v>250</v>
      </c>
      <c r="D54" s="8" t="n">
        <v>150</v>
      </c>
      <c r="E54" s="8" t="n">
        <v>95</v>
      </c>
      <c r="F54" s="10" t="s">
        <v>62</v>
      </c>
    </row>
    <row r="55" customFormat="false" ht="14.25" hidden="false" customHeight="false" outlineLevel="0" collapsed="false">
      <c r="A55" s="7"/>
      <c r="B55" s="7" t="s">
        <v>63</v>
      </c>
      <c r="C55" s="8" t="n">
        <v>250</v>
      </c>
      <c r="D55" s="8" t="n">
        <v>185</v>
      </c>
      <c r="E55" s="8" t="n">
        <v>110</v>
      </c>
    </row>
    <row r="56" customFormat="false" ht="14.25" hidden="false" customHeight="false" outlineLevel="0" collapsed="false">
      <c r="A56" s="7"/>
      <c r="B56" s="7" t="s">
        <v>64</v>
      </c>
      <c r="C56" s="8" t="n">
        <v>250</v>
      </c>
      <c r="D56" s="8" t="n">
        <v>185</v>
      </c>
      <c r="E56" s="8" t="n">
        <v>115</v>
      </c>
    </row>
    <row r="57" customFormat="false" ht="14.25" hidden="false" customHeight="false" outlineLevel="0" collapsed="false">
      <c r="A57" s="7"/>
      <c r="B57" s="7" t="s">
        <v>65</v>
      </c>
      <c r="C57" s="8" t="n">
        <v>250</v>
      </c>
      <c r="D57" s="8" t="n">
        <v>175</v>
      </c>
      <c r="E57" s="8" t="n">
        <v>95</v>
      </c>
    </row>
    <row r="58" customFormat="false" ht="14.25" hidden="false" customHeight="false" outlineLevel="0" collapsed="false">
      <c r="A58" s="7"/>
      <c r="B58" s="7" t="s">
        <v>66</v>
      </c>
      <c r="C58" s="8" t="n">
        <v>250</v>
      </c>
      <c r="D58" s="8" t="n">
        <v>175</v>
      </c>
      <c r="E58" s="8" t="n">
        <v>95</v>
      </c>
    </row>
    <row r="60" customFormat="false" ht="14.25" hidden="false" customHeight="false" outlineLevel="0" collapsed="false">
      <c r="A60" s="11"/>
      <c r="B60" s="12" t="s">
        <v>67</v>
      </c>
      <c r="C60" s="13" t="n">
        <f aca="false">AVERAGE(C6:C58)</f>
        <v>250</v>
      </c>
      <c r="D60" s="13" t="n">
        <f aca="false">AVERAGE(D6:D58)</f>
        <v>153.214285714286</v>
      </c>
      <c r="E60" s="13" t="n">
        <f aca="false">AVERAGE(E6:E58)</f>
        <v>96.3095238095238</v>
      </c>
    </row>
    <row r="61" customFormat="false" ht="14.25" hidden="false" customHeight="false" outlineLevel="0" collapsed="false">
      <c r="B61" s="3" t="s">
        <v>68</v>
      </c>
      <c r="C61" s="1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16" activeCellId="0" sqref="B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69</v>
      </c>
    </row>
    <row r="3" customFormat="false" ht="14.25" hidden="false" customHeight="false" outlineLevel="0" collapsed="false">
      <c r="A3" s="3" t="s">
        <v>70</v>
      </c>
    </row>
    <row r="5" customFormat="false" ht="14.25" hidden="false" customHeight="false" outlineLevel="0" collapsed="false">
      <c r="A5" s="15" t="s">
        <v>71</v>
      </c>
      <c r="B5" s="16"/>
      <c r="C5" s="16"/>
    </row>
    <row r="6" customFormat="false" ht="14.25" hidden="false" customHeight="false" outlineLevel="0" collapsed="false">
      <c r="A6" s="17" t="s">
        <v>72</v>
      </c>
      <c r="B6" s="18" t="n">
        <v>40</v>
      </c>
      <c r="C6" s="19" t="s">
        <v>73</v>
      </c>
    </row>
    <row r="7" customFormat="false" ht="14.25" hidden="false" customHeight="false" outlineLevel="0" collapsed="false">
      <c r="A7" s="17" t="s">
        <v>74</v>
      </c>
      <c r="B7" s="18" t="n">
        <v>4</v>
      </c>
      <c r="C7" s="20" t="s">
        <v>75</v>
      </c>
    </row>
    <row r="8" customFormat="false" ht="14.25" hidden="false" customHeight="false" outlineLevel="0" collapsed="false">
      <c r="A8" s="17" t="s">
        <v>76</v>
      </c>
      <c r="B8" s="21" t="n">
        <f aca="false">B6*B7</f>
        <v>160</v>
      </c>
      <c r="C8" s="19" t="s">
        <v>77</v>
      </c>
    </row>
    <row r="9" customFormat="false" ht="14.25" hidden="false" customHeight="false" outlineLevel="0" collapsed="false">
      <c r="A9" s="17" t="s">
        <v>78</v>
      </c>
      <c r="B9" s="22" t="n">
        <v>20</v>
      </c>
      <c r="C9" s="3" t="s">
        <v>79</v>
      </c>
    </row>
    <row r="10" customFormat="false" ht="14.25" hidden="false" customHeight="false" outlineLevel="0" collapsed="false">
      <c r="A10" s="17" t="s">
        <v>80</v>
      </c>
      <c r="B10" s="21" t="n">
        <f aca="false">B8-B9</f>
        <v>140</v>
      </c>
      <c r="C10" s="19" t="s">
        <v>81</v>
      </c>
    </row>
    <row r="11" customFormat="false" ht="14.25" hidden="false" customHeight="false" outlineLevel="0" collapsed="false">
      <c r="A11" s="17" t="s">
        <v>82</v>
      </c>
      <c r="B11" s="22" t="n">
        <v>80</v>
      </c>
      <c r="C11" s="3" t="s">
        <v>83</v>
      </c>
    </row>
    <row r="12" customFormat="false" ht="14.25" hidden="false" customHeight="false" outlineLevel="0" collapsed="false">
      <c r="A12" s="17" t="s">
        <v>84</v>
      </c>
      <c r="B12" s="22" t="n">
        <v>56</v>
      </c>
      <c r="C12" s="3" t="s">
        <v>85</v>
      </c>
    </row>
    <row r="13" customFormat="false" ht="14.25" hidden="false" customHeight="false" outlineLevel="0" collapsed="false">
      <c r="A13" s="17" t="s">
        <v>86</v>
      </c>
      <c r="B13" s="21" t="n">
        <f aca="false">(B11+B12)/12</f>
        <v>11.3333333333333</v>
      </c>
      <c r="C13" s="20" t="s">
        <v>87</v>
      </c>
    </row>
    <row r="14" customFormat="false" ht="14.25" hidden="false" customHeight="false" outlineLevel="0" collapsed="false">
      <c r="A14" s="17" t="s">
        <v>88</v>
      </c>
      <c r="B14" s="21" t="n">
        <f aca="false">B10-B13</f>
        <v>128.666666666667</v>
      </c>
      <c r="C14" s="20" t="s">
        <v>81</v>
      </c>
    </row>
    <row r="15" customFormat="false" ht="14.25" hidden="false" customHeight="false" outlineLevel="0" collapsed="false">
      <c r="A15" s="17" t="s">
        <v>89</v>
      </c>
      <c r="B15" s="23" t="n">
        <v>1</v>
      </c>
      <c r="C15" s="19" t="s">
        <v>90</v>
      </c>
    </row>
    <row r="16" customFormat="false" ht="14.25" hidden="false" customHeight="false" outlineLevel="0" collapsed="false">
      <c r="A16" s="17" t="s">
        <v>91</v>
      </c>
      <c r="B16" s="24" t="n">
        <f aca="false">'Monthly Capacity'!$N$14</f>
        <v>2088</v>
      </c>
      <c r="C16" s="19" t="s">
        <v>92</v>
      </c>
    </row>
    <row r="17" customFormat="false" ht="14.25" hidden="false" customHeight="false" outlineLevel="0" collapsed="false">
      <c r="A17" s="20" t="s">
        <v>93</v>
      </c>
    </row>
    <row r="18" customFormat="false" ht="14.25" hidden="false" customHeight="false" outlineLevel="0" collapsed="false">
      <c r="A18" s="15" t="s">
        <v>94</v>
      </c>
      <c r="B18" s="16"/>
      <c r="C18" s="16"/>
    </row>
    <row r="19" customFormat="false" ht="14.25" hidden="false" customHeight="false" outlineLevel="0" collapsed="false">
      <c r="A19" s="17" t="s">
        <v>95</v>
      </c>
      <c r="B19" s="23" t="n">
        <v>0.062</v>
      </c>
      <c r="C19" s="3" t="s">
        <v>96</v>
      </c>
    </row>
    <row r="20" customFormat="false" ht="14.25" hidden="false" customHeight="false" outlineLevel="0" collapsed="false">
      <c r="A20" s="17" t="s">
        <v>97</v>
      </c>
      <c r="B20" s="25" t="n">
        <v>184500</v>
      </c>
      <c r="C20" s="3" t="s">
        <v>98</v>
      </c>
    </row>
    <row r="21" customFormat="false" ht="14.25" hidden="false" customHeight="false" outlineLevel="0" collapsed="false">
      <c r="A21" s="17" t="s">
        <v>99</v>
      </c>
      <c r="B21" s="23" t="n">
        <v>0.0145</v>
      </c>
      <c r="C21" s="3" t="s">
        <v>100</v>
      </c>
    </row>
    <row r="22" customFormat="false" ht="14.25" hidden="false" customHeight="false" outlineLevel="0" collapsed="false">
      <c r="A22" s="17" t="s">
        <v>101</v>
      </c>
      <c r="B22" s="23" t="n">
        <v>0.006</v>
      </c>
      <c r="C22" s="3" t="s">
        <v>102</v>
      </c>
    </row>
    <row r="23" customFormat="false" ht="14.25" hidden="false" customHeight="false" outlineLevel="0" collapsed="false">
      <c r="A23" s="17" t="s">
        <v>103</v>
      </c>
      <c r="B23" s="25" t="n">
        <v>7000</v>
      </c>
      <c r="C23" s="3" t="s">
        <v>104</v>
      </c>
    </row>
    <row r="24" customFormat="false" ht="14.25" hidden="false" customHeight="false" outlineLevel="0" collapsed="false">
      <c r="A24" s="17" t="s">
        <v>105</v>
      </c>
      <c r="B24" s="26" t="n">
        <v>0.0139</v>
      </c>
      <c r="C24" s="3" t="s">
        <v>106</v>
      </c>
    </row>
    <row r="25" customFormat="false" ht="14.25" hidden="false" customHeight="false" outlineLevel="0" collapsed="false">
      <c r="A25" s="17" t="s">
        <v>107</v>
      </c>
      <c r="B25" s="25" t="n">
        <v>8000</v>
      </c>
      <c r="C25" s="3" t="s">
        <v>108</v>
      </c>
    </row>
    <row r="27" customFormat="false" ht="14.25" hidden="false" customHeight="false" outlineLevel="0" collapsed="false">
      <c r="A27" s="15" t="s">
        <v>109</v>
      </c>
      <c r="B27" s="16"/>
      <c r="C27" s="16"/>
    </row>
    <row r="28" customFormat="false" ht="14.25" hidden="false" customHeight="false" outlineLevel="0" collapsed="false">
      <c r="A28" s="17" t="s">
        <v>110</v>
      </c>
      <c r="B28" s="25" t="n">
        <v>184500</v>
      </c>
      <c r="C28" s="3" t="s">
        <v>111</v>
      </c>
    </row>
    <row r="29" customFormat="false" ht="14.25" hidden="false" customHeight="false" outlineLevel="0" collapsed="false">
      <c r="A29" s="17" t="s">
        <v>112</v>
      </c>
      <c r="B29" s="23" t="n">
        <v>0.5</v>
      </c>
      <c r="C29" s="3" t="s">
        <v>113</v>
      </c>
    </row>
    <row r="30" customFormat="false" ht="14.25" hidden="false" customHeight="false" outlineLevel="0" collapsed="false">
      <c r="A30" s="17" t="s">
        <v>114</v>
      </c>
      <c r="B30" s="27" t="n">
        <f aca="false">1-B29</f>
        <v>0.5</v>
      </c>
      <c r="C30" s="3" t="s">
        <v>115</v>
      </c>
    </row>
    <row r="32" customFormat="false" ht="14.25" hidden="false" customHeight="false" outlineLevel="0" collapsed="false">
      <c r="A32" s="15" t="s">
        <v>116</v>
      </c>
      <c r="B32" s="16"/>
      <c r="C32" s="16"/>
    </row>
    <row r="33" customFormat="false" ht="14.25" hidden="false" customHeight="false" outlineLevel="0" collapsed="false">
      <c r="A33" s="17" t="s">
        <v>117</v>
      </c>
      <c r="B33" s="28" t="n">
        <f aca="false">'Bill Rates'!$C$60</f>
        <v>250</v>
      </c>
      <c r="C33" s="19" t="s">
        <v>118</v>
      </c>
    </row>
    <row r="34" customFormat="false" ht="14.25" hidden="false" customHeight="false" outlineLevel="0" collapsed="false">
      <c r="A34" s="17" t="s">
        <v>119</v>
      </c>
      <c r="B34" s="28" t="n">
        <f aca="false">'Bill Rates'!$D$60</f>
        <v>153.214285714286</v>
      </c>
      <c r="C34" s="3" t="s">
        <v>120</v>
      </c>
    </row>
    <row r="35" customFormat="false" ht="14.25" hidden="false" customHeight="false" outlineLevel="0" collapsed="false">
      <c r="A35" s="17" t="s">
        <v>121</v>
      </c>
      <c r="B35" s="28" t="n">
        <f aca="false">'Bill Rates'!$E$60</f>
        <v>96.3095238095238</v>
      </c>
      <c r="C35" s="1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6" activeCellId="0" sqref="E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2" min="10" style="0" width="12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3"/>
    <col collapsed="false" customWidth="true" hidden="false" outlineLevel="0" max="24" min="24" style="0" width="9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123</v>
      </c>
    </row>
    <row r="3" customFormat="false" ht="14.25" hidden="false" customHeight="false" outlineLevel="0" collapsed="false">
      <c r="A3" s="19" t="s">
        <v>124</v>
      </c>
    </row>
    <row r="4" customFormat="false" ht="14.25" hidden="false" customHeight="false" outlineLevel="0" collapsed="false">
      <c r="A4" s="16"/>
      <c r="B4" s="16"/>
      <c r="C4" s="16"/>
      <c r="D4" s="29" t="s">
        <v>125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 t="s">
        <v>126</v>
      </c>
      <c r="Q4" s="29"/>
      <c r="R4" s="29"/>
      <c r="S4" s="29"/>
      <c r="T4" s="29"/>
      <c r="U4" s="29"/>
      <c r="V4" s="29"/>
      <c r="W4" s="29"/>
      <c r="X4" s="29"/>
    </row>
    <row r="5" customFormat="false" ht="30" hidden="false" customHeight="true" outlineLevel="0" collapsed="false">
      <c r="A5" s="30" t="s">
        <v>127</v>
      </c>
      <c r="B5" s="30" t="s">
        <v>128</v>
      </c>
      <c r="C5" s="30" t="s">
        <v>129</v>
      </c>
      <c r="D5" s="30" t="s">
        <v>130</v>
      </c>
      <c r="E5" s="30" t="s">
        <v>131</v>
      </c>
      <c r="F5" s="30" t="s">
        <v>132</v>
      </c>
      <c r="G5" s="30" t="s">
        <v>133</v>
      </c>
      <c r="H5" s="30" t="s">
        <v>134</v>
      </c>
      <c r="I5" s="30" t="s">
        <v>135</v>
      </c>
      <c r="J5" s="30" t="s">
        <v>136</v>
      </c>
      <c r="K5" s="30" t="s">
        <v>137</v>
      </c>
      <c r="L5" s="30" t="s">
        <v>138</v>
      </c>
      <c r="M5" s="31" t="s">
        <v>139</v>
      </c>
      <c r="N5" s="30" t="s">
        <v>140</v>
      </c>
      <c r="O5" s="30" t="s">
        <v>141</v>
      </c>
      <c r="P5" s="31" t="s">
        <v>142</v>
      </c>
      <c r="Q5" s="31" t="s">
        <v>143</v>
      </c>
      <c r="R5" s="30" t="s">
        <v>144</v>
      </c>
      <c r="S5" s="30" t="s">
        <v>145</v>
      </c>
      <c r="T5" s="30" t="s">
        <v>146</v>
      </c>
      <c r="U5" s="30" t="s">
        <v>147</v>
      </c>
      <c r="V5" s="30" t="s">
        <v>148</v>
      </c>
      <c r="W5" s="30" t="s">
        <v>149</v>
      </c>
      <c r="X5" s="30" t="s">
        <v>150</v>
      </c>
    </row>
    <row r="6" customFormat="false" ht="14.25" hidden="false" customHeight="false" outlineLevel="0" collapsed="false">
      <c r="A6" s="32" t="s">
        <v>151</v>
      </c>
      <c r="B6" s="7" t="s">
        <v>5</v>
      </c>
      <c r="C6" s="33" t="s">
        <v>152</v>
      </c>
      <c r="D6" s="34" t="n">
        <f aca="false">Assumptions!$B$28</f>
        <v>184500</v>
      </c>
      <c r="E6" s="35" t="n">
        <f aca="false">D6</f>
        <v>184500</v>
      </c>
      <c r="F6" s="35" t="n">
        <f aca="false">Assumptions!$B$19*MIN(E6,Assumptions!$B$20)</f>
        <v>11439</v>
      </c>
      <c r="G6" s="35" t="n">
        <f aca="false">Assumptions!$B$21*E6</f>
        <v>2675.25</v>
      </c>
      <c r="H6" s="35" t="n">
        <f aca="false">Assumptions!$B$22*MIN(E6,Assumptions!$B$23)</f>
        <v>42</v>
      </c>
      <c r="I6" s="35" t="n">
        <f aca="false">Assumptions!$B$24*MIN(E6,Assumptions!$B$25)</f>
        <v>111.2</v>
      </c>
      <c r="J6" s="35" t="n">
        <f aca="false">SUM(F6:I6)</f>
        <v>14267.45</v>
      </c>
      <c r="K6" s="36" t="n">
        <v>800</v>
      </c>
      <c r="L6" s="35" t="n">
        <f aca="false">K6*12</f>
        <v>9600</v>
      </c>
      <c r="M6" s="37" t="n">
        <f aca="false">E6+J6+L6+J18</f>
        <v>208367.45</v>
      </c>
      <c r="N6" s="35" t="n">
        <f aca="false">M6/12</f>
        <v>17363.9541666667</v>
      </c>
      <c r="O6" s="38" t="n">
        <f aca="false">M6/Assumptions!$B$16</f>
        <v>99.7928400383142</v>
      </c>
      <c r="P6" s="39" t="n">
        <f aca="false">'Monthly Capacity'!$N$22</f>
        <v>976</v>
      </c>
      <c r="Q6" s="39" t="n">
        <f aca="false">P6/12</f>
        <v>81.3333333333333</v>
      </c>
      <c r="R6" s="40" t="n">
        <f aca="false">Assumptions!$B$33</f>
        <v>250</v>
      </c>
      <c r="S6" s="41" t="n">
        <f aca="false">'Monthly Capacity'!$N$31/12</f>
        <v>20333.3333333333</v>
      </c>
      <c r="T6" s="42" t="n">
        <f aca="false">Assumptions!$B$29</f>
        <v>0.5</v>
      </c>
      <c r="U6" s="35" t="n">
        <f aca="false">N6*T6</f>
        <v>8681.97708333333</v>
      </c>
      <c r="V6" s="35" t="n">
        <f aca="false">N6*(1-T6)</f>
        <v>8681.97708333333</v>
      </c>
      <c r="W6" s="43" t="n">
        <f aca="false">S6-U6</f>
        <v>11651.35625</v>
      </c>
      <c r="X6" s="44" t="n">
        <f aca="false">IF(S6=0,0,W6/S6)</f>
        <v>0.573017520491803</v>
      </c>
    </row>
    <row r="7" customFormat="false" ht="14.25" hidden="false" customHeight="false" outlineLevel="0" collapsed="false">
      <c r="A7" s="32" t="s">
        <v>153</v>
      </c>
      <c r="B7" s="7" t="s">
        <v>5</v>
      </c>
      <c r="C7" s="33" t="s">
        <v>154</v>
      </c>
      <c r="D7" s="36" t="n">
        <v>176000</v>
      </c>
      <c r="E7" s="35" t="n">
        <f aca="false">D7</f>
        <v>176000</v>
      </c>
      <c r="F7" s="35" t="n">
        <f aca="false">Assumptions!$B$19*MIN(E7,Assumptions!$B$20)</f>
        <v>10912</v>
      </c>
      <c r="G7" s="35" t="n">
        <f aca="false">Assumptions!$B$21*E7</f>
        <v>2552</v>
      </c>
      <c r="H7" s="35" t="n">
        <f aca="false">Assumptions!$B$22*MIN(E7,Assumptions!$B$23)</f>
        <v>42</v>
      </c>
      <c r="I7" s="35" t="n">
        <f aca="false">Assumptions!$B$24*MIN(E7,Assumptions!$B$25)</f>
        <v>111.2</v>
      </c>
      <c r="J7" s="35" t="n">
        <f aca="false">SUM(F7:I7)</f>
        <v>13617.2</v>
      </c>
      <c r="K7" s="36" t="n">
        <v>800</v>
      </c>
      <c r="L7" s="35" t="n">
        <f aca="false">K7*12</f>
        <v>9600</v>
      </c>
      <c r="M7" s="37" t="n">
        <f aca="false">E7+J7+L7+J19</f>
        <v>208671.8</v>
      </c>
      <c r="N7" s="35" t="n">
        <f aca="false">M7/12</f>
        <v>17389.3166666667</v>
      </c>
      <c r="O7" s="38" t="n">
        <f aca="false">M7/Assumptions!$B$16</f>
        <v>99.9386015325671</v>
      </c>
      <c r="P7" s="39" t="n">
        <f aca="false">'Monthly Capacity'!$N$23</f>
        <v>1712</v>
      </c>
      <c r="Q7" s="39" t="n">
        <f aca="false">P7/12</f>
        <v>142.666666666667</v>
      </c>
      <c r="R7" s="40" t="n">
        <f aca="false">Assumptions!$B$33</f>
        <v>250</v>
      </c>
      <c r="S7" s="41" t="n">
        <f aca="false">'Monthly Capacity'!$N$32/12</f>
        <v>35666.6666666667</v>
      </c>
      <c r="T7" s="45" t="n">
        <v>1</v>
      </c>
      <c r="U7" s="35" t="n">
        <f aca="false">N7*T7</f>
        <v>17389.3166666667</v>
      </c>
      <c r="V7" s="35" t="n">
        <f aca="false">N7*(1-T7)</f>
        <v>0</v>
      </c>
      <c r="W7" s="43" t="n">
        <f aca="false">S7-U7</f>
        <v>18277.35</v>
      </c>
      <c r="X7" s="44" t="n">
        <f aca="false">IF(S7=0,0,W7/S7)</f>
        <v>0.512449065420561</v>
      </c>
    </row>
    <row r="8" customFormat="false" ht="14.25" hidden="false" customHeight="false" outlineLevel="0" collapsed="false">
      <c r="A8" s="32" t="s">
        <v>155</v>
      </c>
      <c r="B8" s="7" t="s">
        <v>6</v>
      </c>
      <c r="C8" s="33" t="s">
        <v>156</v>
      </c>
      <c r="D8" s="8" t="n">
        <v>60</v>
      </c>
      <c r="E8" s="35" t="n">
        <f aca="false">D8*Assumptions!$B$16</f>
        <v>125280</v>
      </c>
      <c r="F8" s="35" t="n">
        <f aca="false">Assumptions!$B$19*MIN(E8,Assumptions!$B$20)</f>
        <v>7767.36</v>
      </c>
      <c r="G8" s="35" t="n">
        <f aca="false">Assumptions!$B$21*E8</f>
        <v>1816.56</v>
      </c>
      <c r="H8" s="35" t="n">
        <f aca="false">Assumptions!$B$22*MIN(E8,Assumptions!$B$23)</f>
        <v>42</v>
      </c>
      <c r="I8" s="35" t="n">
        <f aca="false">Assumptions!$B$24*MIN(E8,Assumptions!$B$25)</f>
        <v>111.2</v>
      </c>
      <c r="J8" s="35" t="n">
        <f aca="false">SUM(F8:I8)</f>
        <v>9737.12</v>
      </c>
      <c r="K8" s="36" t="n">
        <v>800</v>
      </c>
      <c r="L8" s="35" t="n">
        <f aca="false">K8*12</f>
        <v>9600</v>
      </c>
      <c r="M8" s="37" t="n">
        <f aca="false">E8+J8+L8+J20</f>
        <v>151360.316</v>
      </c>
      <c r="N8" s="35" t="n">
        <f aca="false">M8/12</f>
        <v>12613.3596666667</v>
      </c>
      <c r="O8" s="38" t="n">
        <f aca="false">M8/Assumptions!$B$16</f>
        <v>72.4905727969349</v>
      </c>
      <c r="P8" s="39" t="n">
        <f aca="false">'Monthly Capacity'!$N$24</f>
        <v>1712</v>
      </c>
      <c r="Q8" s="39" t="n">
        <f aca="false">P8/12</f>
        <v>142.666666666667</v>
      </c>
      <c r="R8" s="40" t="n">
        <f aca="false">Assumptions!$B$34</f>
        <v>153.214285714286</v>
      </c>
      <c r="S8" s="41" t="n">
        <f aca="false">'Monthly Capacity'!$N$33/12</f>
        <v>21858.5714285714</v>
      </c>
      <c r="T8" s="45" t="n">
        <v>1</v>
      </c>
      <c r="U8" s="35" t="n">
        <f aca="false">N8*T8</f>
        <v>12613.3596666667</v>
      </c>
      <c r="V8" s="35" t="n">
        <f aca="false">N8*(1-T8)</f>
        <v>0</v>
      </c>
      <c r="W8" s="43" t="n">
        <f aca="false">S8-U8</f>
        <v>9245.21176190477</v>
      </c>
      <c r="X8" s="44" t="n">
        <f aca="false">IF(S8=0,0,W8/S8)</f>
        <v>0.422955900485807</v>
      </c>
    </row>
    <row r="9" customFormat="false" ht="14.25" hidden="false" customHeight="false" outlineLevel="0" collapsed="false">
      <c r="A9" s="32" t="s">
        <v>157</v>
      </c>
      <c r="B9" s="7" t="s">
        <v>7</v>
      </c>
      <c r="C9" s="33" t="s">
        <v>156</v>
      </c>
      <c r="D9" s="8" t="n">
        <v>35</v>
      </c>
      <c r="E9" s="35" t="n">
        <f aca="false">D9*Assumptions!$B$16</f>
        <v>73080</v>
      </c>
      <c r="F9" s="35" t="n">
        <f aca="false">Assumptions!$B$19*MIN(E9,Assumptions!$B$20)</f>
        <v>4530.96</v>
      </c>
      <c r="G9" s="35" t="n">
        <f aca="false">Assumptions!$B$21*E9</f>
        <v>1059.66</v>
      </c>
      <c r="H9" s="35" t="n">
        <f aca="false">Assumptions!$B$22*MIN(E9,Assumptions!$B$23)</f>
        <v>42</v>
      </c>
      <c r="I9" s="35" t="n">
        <f aca="false">Assumptions!$B$24*MIN(E9,Assumptions!$B$25)</f>
        <v>111.2</v>
      </c>
      <c r="J9" s="35" t="n">
        <f aca="false">SUM(F9:I9)</f>
        <v>5743.82</v>
      </c>
      <c r="K9" s="36" t="n">
        <v>800</v>
      </c>
      <c r="L9" s="35" t="n">
        <f aca="false">K9*12</f>
        <v>9600</v>
      </c>
      <c r="M9" s="37" t="n">
        <f aca="false">E9+J9+L9+J21</f>
        <v>92357.351</v>
      </c>
      <c r="N9" s="35" t="n">
        <f aca="false">M9/12</f>
        <v>7696.44591666667</v>
      </c>
      <c r="O9" s="38" t="n">
        <f aca="false">M9/Assumptions!$B$16</f>
        <v>44.2324477969349</v>
      </c>
      <c r="P9" s="39" t="n">
        <f aca="false">'Monthly Capacity'!$N$25</f>
        <v>1712</v>
      </c>
      <c r="Q9" s="39" t="n">
        <f aca="false">P9/12</f>
        <v>142.666666666667</v>
      </c>
      <c r="R9" s="40" t="n">
        <f aca="false">Assumptions!$B$35</f>
        <v>96.3095238095238</v>
      </c>
      <c r="S9" s="41" t="n">
        <f aca="false">'Monthly Capacity'!$N$34/12</f>
        <v>13740.1587301587</v>
      </c>
      <c r="T9" s="45" t="n">
        <v>1</v>
      </c>
      <c r="U9" s="35" t="n">
        <f aca="false">N9*T9</f>
        <v>7696.44591666667</v>
      </c>
      <c r="V9" s="35" t="n">
        <f aca="false">N9*(1-T9)</f>
        <v>0</v>
      </c>
      <c r="W9" s="43" t="n">
        <f aca="false">S9-U9</f>
        <v>6043.71281349207</v>
      </c>
      <c r="X9" s="44" t="n">
        <f aca="false">IF(S9=0,0,W9/S9)</f>
        <v>0.439857568764946</v>
      </c>
    </row>
    <row r="10" customFormat="false" ht="14.25" hidden="false" customHeight="false" outlineLevel="0" collapsed="false">
      <c r="A10" s="32" t="s">
        <v>158</v>
      </c>
      <c r="B10" s="7" t="s">
        <v>7</v>
      </c>
      <c r="C10" s="33" t="s">
        <v>159</v>
      </c>
      <c r="D10" s="36" t="n">
        <v>4200</v>
      </c>
      <c r="E10" s="35" t="n">
        <f aca="false">D10*12</f>
        <v>50400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f aca="false">SUM(F10:I10)</f>
        <v>0</v>
      </c>
      <c r="K10" s="36" t="n">
        <v>0</v>
      </c>
      <c r="L10" s="35" t="n">
        <f aca="false">K10*12</f>
        <v>0</v>
      </c>
      <c r="M10" s="37" t="n">
        <f aca="false">E10+J10+L10+J22</f>
        <v>52920</v>
      </c>
      <c r="N10" s="35" t="n">
        <f aca="false">M10/12</f>
        <v>4410</v>
      </c>
      <c r="O10" s="38" t="n">
        <f aca="false">M10/Assumptions!$B$16</f>
        <v>25.3448275862069</v>
      </c>
      <c r="P10" s="39" t="n">
        <f aca="false">'Monthly Capacity'!$N$26</f>
        <v>1792</v>
      </c>
      <c r="Q10" s="39" t="n">
        <f aca="false">P10/12</f>
        <v>149.333333333333</v>
      </c>
      <c r="R10" s="40" t="n">
        <f aca="false">Assumptions!$B$35</f>
        <v>96.3095238095238</v>
      </c>
      <c r="S10" s="41" t="n">
        <f aca="false">'Monthly Capacity'!$N$35/12</f>
        <v>14382.2222222222</v>
      </c>
      <c r="T10" s="45" t="n">
        <v>1</v>
      </c>
      <c r="U10" s="35" t="n">
        <f aca="false">N10*T10</f>
        <v>4410</v>
      </c>
      <c r="V10" s="35" t="n">
        <f aca="false">N10*(1-T10)</f>
        <v>0</v>
      </c>
      <c r="W10" s="43" t="n">
        <f aca="false">S10-U10</f>
        <v>9972.22222222222</v>
      </c>
      <c r="X10" s="44" t="n">
        <f aca="false">IF(S10=0,0,W10/S10)</f>
        <v>0.693371446229914</v>
      </c>
    </row>
    <row r="11" customFormat="false" ht="15" hidden="false" customHeight="true" outlineLevel="0" collapsed="false">
      <c r="A11" s="32" t="s">
        <v>160</v>
      </c>
      <c r="B11" s="7" t="s">
        <v>161</v>
      </c>
      <c r="C11" s="33" t="s">
        <v>154</v>
      </c>
      <c r="D11" s="36" t="n">
        <v>80000</v>
      </c>
      <c r="E11" s="35" t="n">
        <f aca="false">D11</f>
        <v>80000</v>
      </c>
      <c r="F11" s="35" t="n">
        <f aca="false">Assumptions!$B$19*MIN(E11,Assumptions!$B$20)</f>
        <v>4960</v>
      </c>
      <c r="G11" s="35" t="n">
        <f aca="false">Assumptions!$B$21*E11</f>
        <v>1160</v>
      </c>
      <c r="H11" s="35" t="n">
        <f aca="false">Assumptions!$B$22*MIN(E11,Assumptions!$B$23)</f>
        <v>42</v>
      </c>
      <c r="I11" s="35" t="n">
        <f aca="false">Assumptions!$B$24*MIN(E11,Assumptions!$B$25)</f>
        <v>111.2</v>
      </c>
      <c r="J11" s="35" t="n">
        <f aca="false">SUM(F11:I11)</f>
        <v>6273.2</v>
      </c>
      <c r="K11" s="36" t="n">
        <v>800</v>
      </c>
      <c r="L11" s="35" t="n">
        <f aca="false">K11*12</f>
        <v>9600</v>
      </c>
      <c r="M11" s="37" t="n">
        <f aca="false">E11+J11+L11+J23</f>
        <v>100179.2</v>
      </c>
      <c r="N11" s="35" t="n">
        <f aca="false">M11/12</f>
        <v>8348.26666666667</v>
      </c>
      <c r="O11" s="38" t="n">
        <f aca="false">M11/Assumptions!$B$16</f>
        <v>47.9785440613027</v>
      </c>
      <c r="P11" s="39" t="n">
        <f aca="false">'Monthly Capacity'!$N$27</f>
        <v>292.8</v>
      </c>
      <c r="Q11" s="39" t="n">
        <f aca="false">P11/12</f>
        <v>24.4</v>
      </c>
      <c r="R11" s="40" t="n">
        <f aca="false">Assumptions!$B$35</f>
        <v>96.3095238095238</v>
      </c>
      <c r="S11" s="41" t="n">
        <f aca="false">'Monthly Capacity'!$N$36/12</f>
        <v>2349.95238095238</v>
      </c>
      <c r="T11" s="45" t="n">
        <v>0.15</v>
      </c>
      <c r="U11" s="35" t="n">
        <f aca="false">N11*T11</f>
        <v>1252.24</v>
      </c>
      <c r="V11" s="35" t="n">
        <f aca="false">N11*(1-T11)</f>
        <v>7096.02666666667</v>
      </c>
      <c r="W11" s="43" t="n">
        <f aca="false">S11-U11</f>
        <v>1097.71238095238</v>
      </c>
      <c r="X11" s="44" t="n">
        <f aca="false">IF(S11=0,0,W11/S11)</f>
        <v>0.467121116942593</v>
      </c>
    </row>
    <row r="12" customFormat="false" ht="14.25" hidden="false" customHeight="false" outlineLevel="0" collapsed="false">
      <c r="A12" s="12" t="s">
        <v>162</v>
      </c>
      <c r="B12" s="11"/>
      <c r="C12" s="11"/>
      <c r="D12" s="11"/>
      <c r="E12" s="46" t="n">
        <f aca="false">SUM(E6:E11)</f>
        <v>689260</v>
      </c>
      <c r="F12" s="46" t="n">
        <f aca="false">SUM(F6:F11)</f>
        <v>39609.32</v>
      </c>
      <c r="G12" s="46" t="n">
        <f aca="false">SUM(G6:G11)</f>
        <v>9263.47</v>
      </c>
      <c r="H12" s="46" t="n">
        <f aca="false">SUM(H6:H11)</f>
        <v>210</v>
      </c>
      <c r="I12" s="46" t="n">
        <f aca="false">SUM(I6:I11)</f>
        <v>556</v>
      </c>
      <c r="J12" s="46" t="n">
        <f aca="false">SUM(J6:J11)</f>
        <v>49638.79</v>
      </c>
      <c r="K12" s="46" t="n">
        <f aca="false">SUM(K6:K11)</f>
        <v>4000</v>
      </c>
      <c r="L12" s="46" t="n">
        <f aca="false">SUM(L6:L11)</f>
        <v>48000</v>
      </c>
      <c r="M12" s="46" t="n">
        <f aca="false">SUM(M6:M11)</f>
        <v>813856.117</v>
      </c>
      <c r="N12" s="46" t="n">
        <f aca="false">SUM(N6:N11)</f>
        <v>67821.3430833333</v>
      </c>
      <c r="O12" s="13" t="n">
        <f aca="false">M12/Assumptions!$B$16</f>
        <v>389.777833812261</v>
      </c>
      <c r="P12" s="47" t="n">
        <f aca="false">SUM(P6:P11)</f>
        <v>8196.8</v>
      </c>
      <c r="Q12" s="47" t="n">
        <f aca="false">SUM(Q6:Q11)</f>
        <v>683.066666666667</v>
      </c>
      <c r="R12" s="11"/>
      <c r="S12" s="46" t="n">
        <f aca="false">SUM(S6:S11)</f>
        <v>108330.904761905</v>
      </c>
      <c r="T12" s="11"/>
      <c r="U12" s="46" t="n">
        <f aca="false">SUM(U6:U11)</f>
        <v>52043.3393333333</v>
      </c>
      <c r="V12" s="46" t="n">
        <f aca="false">SUM(V6:V11)</f>
        <v>15778.00375</v>
      </c>
      <c r="W12" s="46" t="n">
        <f aca="false">SUM(W6:W11)</f>
        <v>56287.5654285714</v>
      </c>
      <c r="X12" s="48" t="n">
        <f aca="false">IF(S12=0,0,W12/S12)</f>
        <v>0.51958917496612</v>
      </c>
    </row>
    <row r="14" customFormat="false" ht="14.25" hidden="false" customHeight="false" outlineLevel="0" collapsed="false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</row>
    <row r="15" customFormat="false" ht="14.25" hidden="false" customHeight="false" outlineLevel="0" collapsed="false">
      <c r="A15" s="50" t="s">
        <v>163</v>
      </c>
      <c r="B15" s="51"/>
      <c r="C15" s="51"/>
      <c r="D15" s="51"/>
      <c r="E15" s="51"/>
      <c r="F15" s="51"/>
      <c r="G15" s="51"/>
      <c r="H15" s="51"/>
      <c r="I15" s="51"/>
      <c r="J15" s="51"/>
      <c r="K15" s="19" t="s">
        <v>164</v>
      </c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</row>
    <row r="16" customFormat="false" ht="14.25" hidden="false" customHeight="false" outlineLevel="0" collapsed="false">
      <c r="A16" s="52" t="s">
        <v>165</v>
      </c>
      <c r="B16" s="53"/>
      <c r="C16" s="53"/>
      <c r="D16" s="54" t="n">
        <v>1</v>
      </c>
      <c r="E16" s="54" t="n">
        <v>1</v>
      </c>
      <c r="F16" s="54" t="n">
        <v>1</v>
      </c>
      <c r="G16" s="54" t="n">
        <v>1</v>
      </c>
      <c r="H16" s="49"/>
      <c r="I16" s="49"/>
      <c r="J16" s="49"/>
      <c r="K16" s="19" t="s">
        <v>166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</row>
    <row r="17" customFormat="false" ht="27.75" hidden="false" customHeight="true" outlineLevel="0" collapsed="false">
      <c r="A17" s="31" t="s">
        <v>127</v>
      </c>
      <c r="B17" s="31" t="s">
        <v>167</v>
      </c>
      <c r="C17" s="31" t="s">
        <v>168</v>
      </c>
      <c r="D17" s="31" t="s">
        <v>169</v>
      </c>
      <c r="E17" s="31" t="s">
        <v>170</v>
      </c>
      <c r="F17" s="31" t="s">
        <v>171</v>
      </c>
      <c r="G17" s="31" t="s">
        <v>172</v>
      </c>
      <c r="H17" s="31" t="s">
        <v>173</v>
      </c>
      <c r="I17" s="31" t="s">
        <v>174</v>
      </c>
      <c r="J17" s="31" t="s">
        <v>175</v>
      </c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</row>
    <row r="18" customFormat="false" ht="14.25" hidden="false" customHeight="false" outlineLevel="0" collapsed="false">
      <c r="A18" s="55" t="str">
        <f aca="false">A6</f>
        <v>Steven Nikolov</v>
      </c>
      <c r="B18" s="56" t="n">
        <v>0</v>
      </c>
      <c r="C18" s="57" t="n">
        <f aca="false">E6*B18</f>
        <v>0</v>
      </c>
      <c r="D18" s="57" t="n">
        <f aca="false">$C18/4*D$16</f>
        <v>0</v>
      </c>
      <c r="E18" s="57" t="n">
        <f aca="false">$C18/4*E$16</f>
        <v>0</v>
      </c>
      <c r="F18" s="57" t="n">
        <f aca="false">$C18/4*F$16</f>
        <v>0</v>
      </c>
      <c r="G18" s="57" t="n">
        <f aca="false">$C18/4*G$16</f>
        <v>0</v>
      </c>
      <c r="H18" s="37" t="n">
        <f aca="false">SUM(D18:G18)</f>
        <v>0</v>
      </c>
      <c r="I18" s="57" t="n">
        <f aca="false">Assumptions!$B$19*MIN(H18,MAX(0,Assumptions!$B$20-E6))+Assumptions!$B$21*H18</f>
        <v>0</v>
      </c>
      <c r="J18" s="37" t="n">
        <f aca="false">H18+I18</f>
        <v>0</v>
      </c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</row>
    <row r="19" customFormat="false" ht="14.25" hidden="false" customHeight="false" outlineLevel="0" collapsed="false">
      <c r="A19" s="55" t="str">
        <f aca="false">A7</f>
        <v>Lisa Danforth</v>
      </c>
      <c r="B19" s="56" t="n">
        <v>0.05</v>
      </c>
      <c r="C19" s="57" t="n">
        <f aca="false">E7*B19</f>
        <v>8800</v>
      </c>
      <c r="D19" s="57" t="n">
        <f aca="false">$C19/4*D$16</f>
        <v>2200</v>
      </c>
      <c r="E19" s="57" t="n">
        <f aca="false">$C19/4*E$16</f>
        <v>2200</v>
      </c>
      <c r="F19" s="57" t="n">
        <f aca="false">$C19/4*F$16</f>
        <v>2200</v>
      </c>
      <c r="G19" s="57" t="n">
        <f aca="false">$C19/4*G$16</f>
        <v>2200</v>
      </c>
      <c r="H19" s="37" t="n">
        <f aca="false">SUM(D19:G19)</f>
        <v>8800</v>
      </c>
      <c r="I19" s="57" t="n">
        <f aca="false">Assumptions!$B$19*MIN(H19,MAX(0,Assumptions!$B$20-E7))+Assumptions!$B$21*H19</f>
        <v>654.6</v>
      </c>
      <c r="J19" s="37" t="n">
        <f aca="false">H19+I19</f>
        <v>9454.6</v>
      </c>
    </row>
    <row r="20" customFormat="false" ht="14.25" hidden="false" customHeight="false" outlineLevel="0" collapsed="false">
      <c r="A20" s="55" t="str">
        <f aca="false">A8</f>
        <v>Cindi Campbell</v>
      </c>
      <c r="B20" s="56" t="n">
        <v>0.05</v>
      </c>
      <c r="C20" s="57" t="n">
        <f aca="false">E8*B20</f>
        <v>6264</v>
      </c>
      <c r="D20" s="57" t="n">
        <f aca="false">$C20/4*D$16</f>
        <v>1566</v>
      </c>
      <c r="E20" s="57" t="n">
        <f aca="false">$C20/4*E$16</f>
        <v>1566</v>
      </c>
      <c r="F20" s="57" t="n">
        <f aca="false">$C20/4*F$16</f>
        <v>1566</v>
      </c>
      <c r="G20" s="57" t="n">
        <f aca="false">$C20/4*G$16</f>
        <v>1566</v>
      </c>
      <c r="H20" s="37" t="n">
        <f aca="false">SUM(D20:G20)</f>
        <v>6264</v>
      </c>
      <c r="I20" s="57" t="n">
        <f aca="false">Assumptions!$B$19*MIN(H20,MAX(0,Assumptions!$B$20-E8))+Assumptions!$B$21*H20</f>
        <v>479.196</v>
      </c>
      <c r="J20" s="37" t="n">
        <f aca="false">H20+I20</f>
        <v>6743.196</v>
      </c>
    </row>
    <row r="21" customFormat="false" ht="14.25" hidden="false" customHeight="false" outlineLevel="0" collapsed="false">
      <c r="A21" s="55" t="str">
        <f aca="false">A9</f>
        <v>Christine Johnson</v>
      </c>
      <c r="B21" s="56" t="n">
        <v>0.05</v>
      </c>
      <c r="C21" s="57" t="n">
        <f aca="false">E9*B21</f>
        <v>3654</v>
      </c>
      <c r="D21" s="57" t="n">
        <f aca="false">$C21/4*D$16</f>
        <v>913.5</v>
      </c>
      <c r="E21" s="57" t="n">
        <f aca="false">$C21/4*E$16</f>
        <v>913.5</v>
      </c>
      <c r="F21" s="57" t="n">
        <f aca="false">$C21/4*F$16</f>
        <v>913.5</v>
      </c>
      <c r="G21" s="57" t="n">
        <f aca="false">$C21/4*G$16</f>
        <v>913.5</v>
      </c>
      <c r="H21" s="37" t="n">
        <f aca="false">SUM(D21:G21)</f>
        <v>3654</v>
      </c>
      <c r="I21" s="57" t="n">
        <f aca="false">Assumptions!$B$19*MIN(H21,MAX(0,Assumptions!$B$20-E9))+Assumptions!$B$21*H21</f>
        <v>279.531</v>
      </c>
      <c r="J21" s="37" t="n">
        <f aca="false">H21+I21</f>
        <v>3933.531</v>
      </c>
    </row>
    <row r="22" customFormat="false" ht="14.25" hidden="false" customHeight="false" outlineLevel="0" collapsed="false">
      <c r="A22" s="55" t="str">
        <f aca="false">A10</f>
        <v>Valentina Dikova</v>
      </c>
      <c r="B22" s="56" t="n">
        <v>0.05</v>
      </c>
      <c r="C22" s="57" t="n">
        <f aca="false">E10*B22</f>
        <v>2520</v>
      </c>
      <c r="D22" s="57" t="n">
        <f aca="false">$C22/4*D$16</f>
        <v>630</v>
      </c>
      <c r="E22" s="57" t="n">
        <f aca="false">$C22/4*E$16</f>
        <v>630</v>
      </c>
      <c r="F22" s="57" t="n">
        <f aca="false">$C22/4*F$16</f>
        <v>630</v>
      </c>
      <c r="G22" s="57" t="n">
        <f aca="false">$C22/4*G$16</f>
        <v>630</v>
      </c>
      <c r="H22" s="37" t="n">
        <f aca="false">SUM(D22:G22)</f>
        <v>2520</v>
      </c>
      <c r="I22" s="57" t="n">
        <v>0</v>
      </c>
      <c r="J22" s="37" t="n">
        <f aca="false">H22+I22</f>
        <v>2520</v>
      </c>
    </row>
    <row r="23" customFormat="false" ht="14.25" hidden="false" customHeight="false" outlineLevel="0" collapsed="false">
      <c r="A23" s="55" t="str">
        <f aca="false">A11</f>
        <v>Josephine Mack</v>
      </c>
      <c r="B23" s="56" t="n">
        <v>0.05</v>
      </c>
      <c r="C23" s="57" t="n">
        <f aca="false">E11*B23</f>
        <v>4000</v>
      </c>
      <c r="D23" s="57" t="n">
        <f aca="false">$C23/4*D$16</f>
        <v>1000</v>
      </c>
      <c r="E23" s="57" t="n">
        <f aca="false">$C23/4*E$16</f>
        <v>1000</v>
      </c>
      <c r="F23" s="57" t="n">
        <f aca="false">$C23/4*F$16</f>
        <v>1000</v>
      </c>
      <c r="G23" s="57" t="n">
        <f aca="false">$C23/4*G$16</f>
        <v>1000</v>
      </c>
      <c r="H23" s="37" t="n">
        <f aca="false">SUM(D23:G23)</f>
        <v>4000</v>
      </c>
      <c r="I23" s="57" t="n">
        <f aca="false">Assumptions!$B$19*MIN(H23,MAX(0,Assumptions!$B$20-E11))+Assumptions!$B$21*H23</f>
        <v>306</v>
      </c>
      <c r="J23" s="37" t="n">
        <f aca="false">H23+I23</f>
        <v>4306</v>
      </c>
    </row>
    <row r="24" customFormat="false" ht="14.25" hidden="false" customHeight="false" outlineLevel="0" collapsed="false">
      <c r="A24" s="58" t="s">
        <v>176</v>
      </c>
      <c r="B24" s="59"/>
      <c r="C24" s="60" t="n">
        <f aca="false">SUM(C18:C23)</f>
        <v>25238</v>
      </c>
      <c r="D24" s="60" t="n">
        <f aca="false">SUM(D18:D23)</f>
        <v>6309.5</v>
      </c>
      <c r="E24" s="60" t="n">
        <f aca="false">SUM(E18:E23)</f>
        <v>6309.5</v>
      </c>
      <c r="F24" s="60" t="n">
        <f aca="false">SUM(F18:F23)</f>
        <v>6309.5</v>
      </c>
      <c r="G24" s="60" t="n">
        <f aca="false">SUM(G18:G23)</f>
        <v>6309.5</v>
      </c>
      <c r="H24" s="60" t="n">
        <f aca="false">SUM(H18:H23)</f>
        <v>25238</v>
      </c>
      <c r="I24" s="60" t="n">
        <f aca="false">SUM(I18:I23)</f>
        <v>1719.327</v>
      </c>
      <c r="J24" s="60" t="n">
        <f aca="false">SUM(J18:J23)</f>
        <v>26957.327</v>
      </c>
    </row>
    <row r="25" customFormat="false" ht="14.25" hidden="false" customHeight="false" outlineLevel="0" collapsed="false">
      <c r="A25" s="61" t="s">
        <v>177</v>
      </c>
      <c r="B25" s="53"/>
      <c r="C25" s="62" t="n">
        <f aca="false">C18+C19+C20+C21+C23</f>
        <v>22718</v>
      </c>
      <c r="D25" s="62" t="n">
        <f aca="false">D18+D19+D20+D21+D23</f>
        <v>5679.5</v>
      </c>
      <c r="E25" s="62" t="n">
        <f aca="false">E18+E19+E20+E21+E23</f>
        <v>5679.5</v>
      </c>
      <c r="F25" s="62" t="n">
        <f aca="false">F18+F19+F20+F21+F23</f>
        <v>5679.5</v>
      </c>
      <c r="G25" s="62" t="n">
        <f aca="false">G18+G19+G20+G21+G23</f>
        <v>5679.5</v>
      </c>
      <c r="H25" s="62" t="n">
        <f aca="false">H18+H19+H20+H21+H23</f>
        <v>22718</v>
      </c>
      <c r="I25" s="62" t="n">
        <f aca="false">I18+I19+I20+I21+I23</f>
        <v>1719.327</v>
      </c>
      <c r="J25" s="62" t="n">
        <f aca="false">J18+J19+J20+J21+J23</f>
        <v>24437.327</v>
      </c>
    </row>
    <row r="26" customFormat="false" ht="14.25" hidden="false" customHeight="false" outlineLevel="0" collapsed="false">
      <c r="A26" s="63" t="s">
        <v>178</v>
      </c>
      <c r="B26" s="53"/>
      <c r="C26" s="64" t="n">
        <f aca="false">C22</f>
        <v>2520</v>
      </c>
      <c r="D26" s="64" t="n">
        <f aca="false">D22</f>
        <v>630</v>
      </c>
      <c r="E26" s="64" t="n">
        <f aca="false">E22</f>
        <v>630</v>
      </c>
      <c r="F26" s="64" t="n">
        <f aca="false">F22</f>
        <v>630</v>
      </c>
      <c r="G26" s="64" t="n">
        <f aca="false">G22</f>
        <v>630</v>
      </c>
      <c r="H26" s="64" t="n">
        <f aca="false">H22</f>
        <v>2520</v>
      </c>
      <c r="I26" s="64" t="n">
        <f aca="false">I22</f>
        <v>0</v>
      </c>
      <c r="J26" s="64" t="n">
        <f aca="false">J22</f>
        <v>2520</v>
      </c>
    </row>
    <row r="28" customFormat="false" ht="12.75" hidden="false" customHeight="true" outlineLevel="0" collapsed="false">
      <c r="A28" s="65" t="s">
        <v>179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</row>
    <row r="29" customFormat="false" ht="12.75" hidden="false" customHeight="true" outlineLevel="0" collapsed="false">
      <c r="A29" s="65" t="s">
        <v>180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</row>
    <row r="30" customFormat="false" ht="12.75" hidden="false" customHeight="true" outlineLevel="0" collapsed="false">
      <c r="A30" s="65" t="s">
        <v>181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</row>
    <row r="31" customFormat="false" ht="12.75" hidden="false" customHeight="true" outlineLevel="0" collapsed="false">
      <c r="A31" s="65" t="s">
        <v>182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</row>
    <row r="32" customFormat="false" ht="12.75" hidden="false" customHeight="true" outlineLevel="0" collapsed="false">
      <c r="A32" s="65" t="s">
        <v>183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</row>
  </sheetData>
  <mergeCells count="7">
    <mergeCell ref="D4:O4"/>
    <mergeCell ref="P4:X4"/>
    <mergeCell ref="A28:N28"/>
    <mergeCell ref="A29:N29"/>
    <mergeCell ref="A30:N30"/>
    <mergeCell ref="A31:N31"/>
    <mergeCell ref="A32:N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13" min="2" style="0" width="10.5"/>
    <col collapsed="false" customWidth="true" hidden="false" outlineLevel="0" max="14" min="14" style="0" width="12"/>
    <col collapsed="false" customWidth="true" hidden="false" outlineLevel="0" max="19" min="16" style="0" width="12"/>
  </cols>
  <sheetData>
    <row r="1" customFormat="false" ht="17.35" hidden="false" customHeight="false" outlineLevel="0" collapsed="false">
      <c r="A1" s="66" t="s">
        <v>0</v>
      </c>
    </row>
    <row r="2" customFormat="false" ht="15" hidden="false" customHeight="false" outlineLevel="0" collapsed="false">
      <c r="A2" s="67" t="s">
        <v>184</v>
      </c>
    </row>
    <row r="3" customFormat="false" ht="15" hidden="false" customHeight="false" outlineLevel="0" collapsed="false">
      <c r="A3" s="19" t="s">
        <v>185</v>
      </c>
    </row>
    <row r="5" customFormat="false" ht="15" hidden="false" customHeight="false" outlineLevel="0" collapsed="false">
      <c r="A5" s="51"/>
      <c r="B5" s="68" t="s">
        <v>186</v>
      </c>
      <c r="C5" s="68" t="s">
        <v>187</v>
      </c>
      <c r="D5" s="68" t="s">
        <v>188</v>
      </c>
      <c r="E5" s="68" t="s">
        <v>189</v>
      </c>
      <c r="F5" s="68" t="s">
        <v>190</v>
      </c>
      <c r="G5" s="68" t="s">
        <v>191</v>
      </c>
      <c r="H5" s="68" t="s">
        <v>192</v>
      </c>
      <c r="I5" s="68" t="s">
        <v>193</v>
      </c>
      <c r="J5" s="68" t="s">
        <v>194</v>
      </c>
      <c r="K5" s="68" t="s">
        <v>195</v>
      </c>
      <c r="L5" s="68" t="s">
        <v>196</v>
      </c>
      <c r="M5" s="68" t="s">
        <v>197</v>
      </c>
      <c r="N5" s="68" t="s">
        <v>198</v>
      </c>
    </row>
    <row r="7" customFormat="false" ht="15" hidden="false" customHeight="false" outlineLevel="0" collapsed="false">
      <c r="A7" s="69" t="s">
        <v>199</v>
      </c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</row>
    <row r="8" customFormat="false" ht="15" hidden="false" customHeight="false" outlineLevel="0" collapsed="false">
      <c r="A8" s="49" t="s">
        <v>200</v>
      </c>
      <c r="B8" s="70" t="n">
        <v>31</v>
      </c>
      <c r="C8" s="70" t="n">
        <v>28</v>
      </c>
      <c r="D8" s="70" t="n">
        <v>31</v>
      </c>
      <c r="E8" s="70" t="n">
        <v>30</v>
      </c>
      <c r="F8" s="70" t="n">
        <v>31</v>
      </c>
      <c r="G8" s="70" t="n">
        <v>30</v>
      </c>
      <c r="H8" s="70" t="n">
        <v>31</v>
      </c>
      <c r="I8" s="70" t="n">
        <v>31</v>
      </c>
      <c r="J8" s="70" t="n">
        <v>30</v>
      </c>
      <c r="K8" s="70" t="n">
        <v>31</v>
      </c>
      <c r="L8" s="70" t="n">
        <v>30</v>
      </c>
      <c r="M8" s="70" t="n">
        <v>31</v>
      </c>
      <c r="N8" s="71" t="n">
        <f aca="false">SUM(B8:M8)</f>
        <v>365</v>
      </c>
    </row>
    <row r="9" customFormat="false" ht="15" hidden="false" customHeight="false" outlineLevel="0" collapsed="false">
      <c r="A9" s="49" t="s">
        <v>201</v>
      </c>
      <c r="B9" s="70" t="n">
        <v>22</v>
      </c>
      <c r="C9" s="70" t="n">
        <v>20</v>
      </c>
      <c r="D9" s="70" t="n">
        <v>22</v>
      </c>
      <c r="E9" s="70" t="n">
        <v>22</v>
      </c>
      <c r="F9" s="70" t="n">
        <v>21</v>
      </c>
      <c r="G9" s="70" t="n">
        <v>22</v>
      </c>
      <c r="H9" s="70" t="n">
        <v>23</v>
      </c>
      <c r="I9" s="70" t="n">
        <v>21</v>
      </c>
      <c r="J9" s="70" t="n">
        <v>22</v>
      </c>
      <c r="K9" s="70" t="n">
        <v>22</v>
      </c>
      <c r="L9" s="70" t="n">
        <v>21</v>
      </c>
      <c r="M9" s="70" t="n">
        <v>23</v>
      </c>
      <c r="N9" s="71" t="n">
        <f aca="false">SUM(B9:M9)</f>
        <v>261</v>
      </c>
    </row>
    <row r="10" customFormat="false" ht="15" hidden="false" customHeight="false" outlineLevel="0" collapsed="false">
      <c r="A10" s="49" t="s">
        <v>202</v>
      </c>
      <c r="B10" s="72" t="n">
        <v>1</v>
      </c>
      <c r="C10" s="72" t="n">
        <v>0</v>
      </c>
      <c r="D10" s="72" t="n">
        <v>0</v>
      </c>
      <c r="E10" s="72" t="n">
        <v>0</v>
      </c>
      <c r="F10" s="72" t="n">
        <v>1</v>
      </c>
      <c r="G10" s="72" t="n">
        <v>0</v>
      </c>
      <c r="H10" s="72" t="n">
        <v>1</v>
      </c>
      <c r="I10" s="72" t="n">
        <v>0</v>
      </c>
      <c r="J10" s="72" t="n">
        <v>1</v>
      </c>
      <c r="K10" s="72" t="n">
        <v>0</v>
      </c>
      <c r="L10" s="72" t="n">
        <v>1</v>
      </c>
      <c r="M10" s="72" t="n">
        <v>2</v>
      </c>
      <c r="N10" s="71" t="n">
        <f aca="false">SUM(B10:M10)</f>
        <v>7</v>
      </c>
    </row>
    <row r="11" customFormat="false" ht="15" hidden="false" customHeight="false" outlineLevel="0" collapsed="false">
      <c r="A11" s="52" t="s">
        <v>203</v>
      </c>
      <c r="B11" s="73" t="n">
        <f aca="false">B9-B10</f>
        <v>21</v>
      </c>
      <c r="C11" s="73" t="n">
        <f aca="false">C9-C10</f>
        <v>20</v>
      </c>
      <c r="D11" s="73" t="n">
        <f aca="false">D9-D10</f>
        <v>22</v>
      </c>
      <c r="E11" s="73" t="n">
        <f aca="false">E9-E10</f>
        <v>22</v>
      </c>
      <c r="F11" s="73" t="n">
        <f aca="false">F9-F10</f>
        <v>20</v>
      </c>
      <c r="G11" s="73" t="n">
        <f aca="false">G9-G10</f>
        <v>22</v>
      </c>
      <c r="H11" s="73" t="n">
        <f aca="false">H9-H10</f>
        <v>22</v>
      </c>
      <c r="I11" s="73" t="n">
        <f aca="false">I9-I10</f>
        <v>21</v>
      </c>
      <c r="J11" s="73" t="n">
        <f aca="false">J9-J10</f>
        <v>21</v>
      </c>
      <c r="K11" s="73" t="n">
        <f aca="false">K9-K10</f>
        <v>22</v>
      </c>
      <c r="L11" s="73" t="n">
        <f aca="false">L9-L10</f>
        <v>20</v>
      </c>
      <c r="M11" s="73" t="n">
        <f aca="false">M9-M10</f>
        <v>21</v>
      </c>
      <c r="N11" s="71" t="n">
        <f aca="false">SUM(B11:M11)</f>
        <v>254</v>
      </c>
    </row>
    <row r="12" customFormat="false" ht="15" hidden="false" customHeight="false" outlineLevel="0" collapsed="false">
      <c r="A12" s="49" t="s">
        <v>204</v>
      </c>
      <c r="B12" s="72" t="n">
        <v>8</v>
      </c>
      <c r="C12" s="72" t="n">
        <v>8</v>
      </c>
      <c r="D12" s="72" t="n">
        <v>8</v>
      </c>
      <c r="E12" s="72" t="n">
        <v>8</v>
      </c>
      <c r="F12" s="72" t="n">
        <v>8</v>
      </c>
      <c r="G12" s="72" t="n">
        <v>8</v>
      </c>
      <c r="H12" s="72" t="n">
        <v>8</v>
      </c>
      <c r="I12" s="72" t="n">
        <v>8</v>
      </c>
      <c r="J12" s="72" t="n">
        <v>8</v>
      </c>
      <c r="K12" s="72" t="n">
        <v>8</v>
      </c>
      <c r="L12" s="72" t="n">
        <v>8</v>
      </c>
      <c r="M12" s="72" t="n">
        <v>8</v>
      </c>
      <c r="N12" s="71" t="n">
        <f aca="false">SUM(B12:M12)</f>
        <v>96</v>
      </c>
    </row>
    <row r="13" customFormat="false" ht="15" hidden="false" customHeight="false" outlineLevel="0" collapsed="false">
      <c r="A13" s="52" t="s">
        <v>205</v>
      </c>
      <c r="B13" s="74" t="n">
        <f aca="false">B11*B12</f>
        <v>168</v>
      </c>
      <c r="C13" s="74" t="n">
        <f aca="false">C11*C12</f>
        <v>160</v>
      </c>
      <c r="D13" s="74" t="n">
        <f aca="false">D11*D12</f>
        <v>176</v>
      </c>
      <c r="E13" s="74" t="n">
        <f aca="false">E11*E12</f>
        <v>176</v>
      </c>
      <c r="F13" s="74" t="n">
        <f aca="false">F11*F12</f>
        <v>160</v>
      </c>
      <c r="G13" s="74" t="n">
        <f aca="false">G11*G12</f>
        <v>176</v>
      </c>
      <c r="H13" s="74" t="n">
        <f aca="false">H11*H12</f>
        <v>176</v>
      </c>
      <c r="I13" s="74" t="n">
        <f aca="false">I11*I12</f>
        <v>168</v>
      </c>
      <c r="J13" s="74" t="n">
        <f aca="false">J11*J12</f>
        <v>168</v>
      </c>
      <c r="K13" s="74" t="n">
        <f aca="false">K11*K12</f>
        <v>176</v>
      </c>
      <c r="L13" s="74" t="n">
        <f aca="false">L11*L12</f>
        <v>160</v>
      </c>
      <c r="M13" s="74" t="n">
        <f aca="false">M11*M12</f>
        <v>168</v>
      </c>
      <c r="N13" s="75" t="n">
        <f aca="false">SUM(B13:M13)</f>
        <v>2032</v>
      </c>
    </row>
    <row r="14" customFormat="false" ht="15" hidden="false" customHeight="false" outlineLevel="0" collapsed="false">
      <c r="A14" s="52" t="s">
        <v>206</v>
      </c>
      <c r="B14" s="76" t="n">
        <f aca="false">B9*B12</f>
        <v>176</v>
      </c>
      <c r="C14" s="76" t="n">
        <f aca="false">C9*C12</f>
        <v>160</v>
      </c>
      <c r="D14" s="76" t="n">
        <f aca="false">D9*D12</f>
        <v>176</v>
      </c>
      <c r="E14" s="76" t="n">
        <f aca="false">E9*E12</f>
        <v>176</v>
      </c>
      <c r="F14" s="76" t="n">
        <f aca="false">F9*F12</f>
        <v>168</v>
      </c>
      <c r="G14" s="76" t="n">
        <f aca="false">G9*G12</f>
        <v>176</v>
      </c>
      <c r="H14" s="76" t="n">
        <f aca="false">H9*H12</f>
        <v>184</v>
      </c>
      <c r="I14" s="76" t="n">
        <f aca="false">I9*I12</f>
        <v>168</v>
      </c>
      <c r="J14" s="76" t="n">
        <f aca="false">J9*J12</f>
        <v>176</v>
      </c>
      <c r="K14" s="76" t="n">
        <f aca="false">K9*K12</f>
        <v>176</v>
      </c>
      <c r="L14" s="76" t="n">
        <f aca="false">L9*L12</f>
        <v>168</v>
      </c>
      <c r="M14" s="76" t="n">
        <f aca="false">M9*M12</f>
        <v>184</v>
      </c>
      <c r="N14" s="75" t="n">
        <f aca="false">SUM(B14:M14)</f>
        <v>2088</v>
      </c>
      <c r="P14" s="77" t="s">
        <v>207</v>
      </c>
    </row>
    <row r="16" customFormat="false" ht="15" hidden="false" customHeight="false" outlineLevel="0" collapsed="false">
      <c r="A16" s="69" t="s">
        <v>208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customFormat="false" ht="15" hidden="false" customHeight="false" outlineLevel="0" collapsed="false">
      <c r="A17" s="49" t="s">
        <v>209</v>
      </c>
      <c r="B17" s="56" t="n">
        <v>0.0833333333333333</v>
      </c>
      <c r="C17" s="56" t="n">
        <v>0.0833333333333333</v>
      </c>
      <c r="D17" s="56" t="n">
        <v>0.0833333333333333</v>
      </c>
      <c r="E17" s="56" t="n">
        <v>0.0833333333333333</v>
      </c>
      <c r="F17" s="56" t="n">
        <v>0.0833333333333333</v>
      </c>
      <c r="G17" s="56" t="n">
        <v>0.0833333333333333</v>
      </c>
      <c r="H17" s="56" t="n">
        <v>0.0833333333333333</v>
      </c>
      <c r="I17" s="56" t="n">
        <v>0.0833333333333333</v>
      </c>
      <c r="J17" s="56" t="n">
        <v>0.0833333333333333</v>
      </c>
      <c r="K17" s="56" t="n">
        <v>0.0833333333333333</v>
      </c>
      <c r="L17" s="56" t="n">
        <v>0.0833333333333333</v>
      </c>
      <c r="M17" s="56" t="n">
        <v>0.0833333333333333</v>
      </c>
      <c r="N17" s="78" t="n">
        <f aca="false">SUM(B17:M17)</f>
        <v>1</v>
      </c>
      <c r="P17" s="77" t="s">
        <v>210</v>
      </c>
    </row>
    <row r="18" customFormat="false" ht="15" hidden="false" customHeight="false" outlineLevel="0" collapsed="false">
      <c r="A18" s="79" t="s">
        <v>211</v>
      </c>
      <c r="B18" s="80" t="str">
        <f aca="false">IF(ROUND(N17,6)=1,"OK","FIX — must total 100%")</f>
        <v>OK</v>
      </c>
      <c r="C18" s="80"/>
      <c r="D18" s="80"/>
      <c r="E18" s="80"/>
      <c r="F18" s="80"/>
    </row>
    <row r="20" customFormat="false" ht="15" hidden="false" customHeight="false" outlineLevel="0" collapsed="false">
      <c r="A20" s="69" t="s">
        <v>212</v>
      </c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P20" s="51"/>
      <c r="Q20" s="51"/>
      <c r="R20" s="51"/>
      <c r="S20" s="51"/>
    </row>
    <row r="21" customFormat="false" ht="27.75" hidden="false" customHeight="true" outlineLevel="0" collapsed="false">
      <c r="A21" s="81" t="s">
        <v>127</v>
      </c>
      <c r="B21" s="68" t="s">
        <v>213</v>
      </c>
      <c r="C21" s="68" t="s">
        <v>214</v>
      </c>
      <c r="D21" s="68" t="s">
        <v>215</v>
      </c>
      <c r="E21" s="68" t="s">
        <v>216</v>
      </c>
      <c r="F21" s="68" t="s">
        <v>217</v>
      </c>
      <c r="G21" s="68" t="s">
        <v>218</v>
      </c>
      <c r="H21" s="68" t="s">
        <v>219</v>
      </c>
      <c r="I21" s="68" t="s">
        <v>220</v>
      </c>
      <c r="J21" s="68" t="s">
        <v>221</v>
      </c>
      <c r="K21" s="68" t="s">
        <v>222</v>
      </c>
      <c r="L21" s="68" t="s">
        <v>223</v>
      </c>
      <c r="M21" s="68" t="s">
        <v>224</v>
      </c>
      <c r="N21" s="68" t="s">
        <v>225</v>
      </c>
      <c r="P21" s="31" t="s">
        <v>226</v>
      </c>
      <c r="Q21" s="31" t="s">
        <v>227</v>
      </c>
      <c r="R21" s="31" t="s">
        <v>228</v>
      </c>
      <c r="S21" s="31" t="s">
        <v>229</v>
      </c>
    </row>
    <row r="22" customFormat="false" ht="15" hidden="false" customHeight="false" outlineLevel="0" collapsed="false">
      <c r="A22" s="55" t="str">
        <f aca="false">'Staff P&amp;L'!$A$6</f>
        <v>Steven Nikolov</v>
      </c>
      <c r="B22" s="76" t="n">
        <f aca="false">MAX(0,(B$13-$P22-$R22*B$17))*$Q22*Assumptions!$B$15</f>
        <v>80.6666666666667</v>
      </c>
      <c r="C22" s="76" t="n">
        <f aca="false">MAX(0,(C$13-$P22-$R22*C$17))*$Q22*Assumptions!$B$15</f>
        <v>76.6666666666667</v>
      </c>
      <c r="D22" s="76" t="n">
        <f aca="false">MAX(0,(D$13-$P22-$R22*D$17))*$Q22*Assumptions!$B$15</f>
        <v>84.6666666666667</v>
      </c>
      <c r="E22" s="76" t="n">
        <f aca="false">MAX(0,(E$13-$P22-$R22*E$17))*$Q22*Assumptions!$B$15</f>
        <v>84.6666666666667</v>
      </c>
      <c r="F22" s="76" t="n">
        <f aca="false">MAX(0,(F$13-$P22-$R22*F$17))*$Q22*Assumptions!$B$15</f>
        <v>76.6666666666667</v>
      </c>
      <c r="G22" s="76" t="n">
        <f aca="false">MAX(0,(G$13-$P22-$R22*G$17))*$Q22*Assumptions!$B$15</f>
        <v>84.6666666666667</v>
      </c>
      <c r="H22" s="76" t="n">
        <f aca="false">MAX(0,(H$13-$P22-$R22*H$17))*$Q22*Assumptions!$B$15</f>
        <v>84.6666666666667</v>
      </c>
      <c r="I22" s="76" t="n">
        <f aca="false">MAX(0,(I$13-$P22-$R22*I$17))*$Q22*Assumptions!$B$15</f>
        <v>80.6666666666667</v>
      </c>
      <c r="J22" s="76" t="n">
        <f aca="false">MAX(0,(J$13-$P22-$R22*J$17))*$Q22*Assumptions!$B$15</f>
        <v>80.6666666666667</v>
      </c>
      <c r="K22" s="76" t="n">
        <f aca="false">MAX(0,(K$13-$P22-$R22*K$17))*$Q22*Assumptions!$B$15</f>
        <v>84.6666666666667</v>
      </c>
      <c r="L22" s="76" t="n">
        <f aca="false">MAX(0,(L$13-$P22-$R22*L$17))*$Q22*Assumptions!$B$15</f>
        <v>76.6666666666667</v>
      </c>
      <c r="M22" s="76" t="n">
        <f aca="false">MAX(0,(M$13-$P22-$R22*M$17))*$Q22*Assumptions!$B$15</f>
        <v>80.6666666666667</v>
      </c>
      <c r="N22" s="75" t="n">
        <f aca="false">SUM(B22:M22)</f>
        <v>976</v>
      </c>
      <c r="P22" s="72" t="n">
        <v>0</v>
      </c>
      <c r="Q22" s="56" t="n">
        <v>0.5</v>
      </c>
      <c r="R22" s="72" t="n">
        <v>80</v>
      </c>
      <c r="S22" s="82" t="n">
        <f aca="false">Assumptions!$B$33</f>
        <v>250</v>
      </c>
    </row>
    <row r="23" customFormat="false" ht="15" hidden="false" customHeight="false" outlineLevel="0" collapsed="false">
      <c r="A23" s="55" t="str">
        <f aca="false">'Staff P&amp;L'!$A$7</f>
        <v>Lisa Danforth</v>
      </c>
      <c r="B23" s="76" t="n">
        <f aca="false">MAX(0,(B$13-$P23-$R23*B$17))*$Q23*Assumptions!$B$15</f>
        <v>141.333333333333</v>
      </c>
      <c r="C23" s="76" t="n">
        <f aca="false">MAX(0,(C$13-$P23-$R23*C$17))*$Q23*Assumptions!$B$15</f>
        <v>133.333333333333</v>
      </c>
      <c r="D23" s="76" t="n">
        <f aca="false">MAX(0,(D$13-$P23-$R23*D$17))*$Q23*Assumptions!$B$15</f>
        <v>149.333333333333</v>
      </c>
      <c r="E23" s="76" t="n">
        <f aca="false">MAX(0,(E$13-$P23-$R23*E$17))*$Q23*Assumptions!$B$15</f>
        <v>149.333333333333</v>
      </c>
      <c r="F23" s="76" t="n">
        <f aca="false">MAX(0,(F$13-$P23-$R23*F$17))*$Q23*Assumptions!$B$15</f>
        <v>133.333333333333</v>
      </c>
      <c r="G23" s="76" t="n">
        <f aca="false">MAX(0,(G$13-$P23-$R23*G$17))*$Q23*Assumptions!$B$15</f>
        <v>149.333333333333</v>
      </c>
      <c r="H23" s="76" t="n">
        <f aca="false">MAX(0,(H$13-$P23-$R23*H$17))*$Q23*Assumptions!$B$15</f>
        <v>149.333333333333</v>
      </c>
      <c r="I23" s="76" t="n">
        <f aca="false">MAX(0,(I$13-$P23-$R23*I$17))*$Q23*Assumptions!$B$15</f>
        <v>141.333333333333</v>
      </c>
      <c r="J23" s="76" t="n">
        <f aca="false">MAX(0,(J$13-$P23-$R23*J$17))*$Q23*Assumptions!$B$15</f>
        <v>141.333333333333</v>
      </c>
      <c r="K23" s="76" t="n">
        <f aca="false">MAX(0,(K$13-$P23-$R23*K$17))*$Q23*Assumptions!$B$15</f>
        <v>149.333333333333</v>
      </c>
      <c r="L23" s="76" t="n">
        <f aca="false">MAX(0,(L$13-$P23-$R23*L$17))*$Q23*Assumptions!$B$15</f>
        <v>133.333333333333</v>
      </c>
      <c r="M23" s="76" t="n">
        <f aca="false">MAX(0,(M$13-$P23-$R23*M$17))*$Q23*Assumptions!$B$15</f>
        <v>141.333333333333</v>
      </c>
      <c r="N23" s="75" t="n">
        <f aca="false">SUM(B23:M23)</f>
        <v>1712</v>
      </c>
      <c r="P23" s="72" t="n">
        <v>20</v>
      </c>
      <c r="Q23" s="56" t="n">
        <v>1</v>
      </c>
      <c r="R23" s="72" t="n">
        <v>80</v>
      </c>
      <c r="S23" s="82" t="n">
        <f aca="false">Assumptions!$B$33</f>
        <v>250</v>
      </c>
    </row>
    <row r="24" customFormat="false" ht="15" hidden="false" customHeight="false" outlineLevel="0" collapsed="false">
      <c r="A24" s="55" t="str">
        <f aca="false">'Staff P&amp;L'!$A$8</f>
        <v>Cindi Campbell</v>
      </c>
      <c r="B24" s="76" t="n">
        <f aca="false">MAX(0,(B$13-$P24-$R24*B$17))*$Q24*Assumptions!$B$15</f>
        <v>141.333333333333</v>
      </c>
      <c r="C24" s="76" t="n">
        <f aca="false">MAX(0,(C$13-$P24-$R24*C$17))*$Q24*Assumptions!$B$15</f>
        <v>133.333333333333</v>
      </c>
      <c r="D24" s="76" t="n">
        <f aca="false">MAX(0,(D$13-$P24-$R24*D$17))*$Q24*Assumptions!$B$15</f>
        <v>149.333333333333</v>
      </c>
      <c r="E24" s="76" t="n">
        <f aca="false">MAX(0,(E$13-$P24-$R24*E$17))*$Q24*Assumptions!$B$15</f>
        <v>149.333333333333</v>
      </c>
      <c r="F24" s="76" t="n">
        <f aca="false">MAX(0,(F$13-$P24-$R24*F$17))*$Q24*Assumptions!$B$15</f>
        <v>133.333333333333</v>
      </c>
      <c r="G24" s="76" t="n">
        <f aca="false">MAX(0,(G$13-$P24-$R24*G$17))*$Q24*Assumptions!$B$15</f>
        <v>149.333333333333</v>
      </c>
      <c r="H24" s="76" t="n">
        <f aca="false">MAX(0,(H$13-$P24-$R24*H$17))*$Q24*Assumptions!$B$15</f>
        <v>149.333333333333</v>
      </c>
      <c r="I24" s="76" t="n">
        <f aca="false">MAX(0,(I$13-$P24-$R24*I$17))*$Q24*Assumptions!$B$15</f>
        <v>141.333333333333</v>
      </c>
      <c r="J24" s="76" t="n">
        <f aca="false">MAX(0,(J$13-$P24-$R24*J$17))*$Q24*Assumptions!$B$15</f>
        <v>141.333333333333</v>
      </c>
      <c r="K24" s="76" t="n">
        <f aca="false">MAX(0,(K$13-$P24-$R24*K$17))*$Q24*Assumptions!$B$15</f>
        <v>149.333333333333</v>
      </c>
      <c r="L24" s="76" t="n">
        <f aca="false">MAX(0,(L$13-$P24-$R24*L$17))*$Q24*Assumptions!$B$15</f>
        <v>133.333333333333</v>
      </c>
      <c r="M24" s="76" t="n">
        <f aca="false">MAX(0,(M$13-$P24-$R24*M$17))*$Q24*Assumptions!$B$15</f>
        <v>141.333333333333</v>
      </c>
      <c r="N24" s="75" t="n">
        <f aca="false">SUM(B24:M24)</f>
        <v>1712</v>
      </c>
      <c r="P24" s="72" t="n">
        <v>20</v>
      </c>
      <c r="Q24" s="56" t="n">
        <v>1</v>
      </c>
      <c r="R24" s="72" t="n">
        <v>80</v>
      </c>
      <c r="S24" s="82" t="n">
        <f aca="false">Assumptions!$B$34</f>
        <v>153.214285714286</v>
      </c>
    </row>
    <row r="25" customFormat="false" ht="15" hidden="false" customHeight="false" outlineLevel="0" collapsed="false">
      <c r="A25" s="55" t="str">
        <f aca="false">'Staff P&amp;L'!$A$9</f>
        <v>Christine Johnson</v>
      </c>
      <c r="B25" s="76" t="n">
        <f aca="false">MAX(0,(B$13-$P25-$R25*B$17))*$Q25*Assumptions!$B$15</f>
        <v>141.333333333333</v>
      </c>
      <c r="C25" s="76" t="n">
        <f aca="false">MAX(0,(C$13-$P25-$R25*C$17))*$Q25*Assumptions!$B$15</f>
        <v>133.333333333333</v>
      </c>
      <c r="D25" s="76" t="n">
        <f aca="false">MAX(0,(D$13-$P25-$R25*D$17))*$Q25*Assumptions!$B$15</f>
        <v>149.333333333333</v>
      </c>
      <c r="E25" s="76" t="n">
        <f aca="false">MAX(0,(E$13-$P25-$R25*E$17))*$Q25*Assumptions!$B$15</f>
        <v>149.333333333333</v>
      </c>
      <c r="F25" s="76" t="n">
        <f aca="false">MAX(0,(F$13-$P25-$R25*F$17))*$Q25*Assumptions!$B$15</f>
        <v>133.333333333333</v>
      </c>
      <c r="G25" s="76" t="n">
        <f aca="false">MAX(0,(G$13-$P25-$R25*G$17))*$Q25*Assumptions!$B$15</f>
        <v>149.333333333333</v>
      </c>
      <c r="H25" s="76" t="n">
        <f aca="false">MAX(0,(H$13-$P25-$R25*H$17))*$Q25*Assumptions!$B$15</f>
        <v>149.333333333333</v>
      </c>
      <c r="I25" s="76" t="n">
        <f aca="false">MAX(0,(I$13-$P25-$R25*I$17))*$Q25*Assumptions!$B$15</f>
        <v>141.333333333333</v>
      </c>
      <c r="J25" s="76" t="n">
        <f aca="false">MAX(0,(J$13-$P25-$R25*J$17))*$Q25*Assumptions!$B$15</f>
        <v>141.333333333333</v>
      </c>
      <c r="K25" s="76" t="n">
        <f aca="false">MAX(0,(K$13-$P25-$R25*K$17))*$Q25*Assumptions!$B$15</f>
        <v>149.333333333333</v>
      </c>
      <c r="L25" s="76" t="n">
        <f aca="false">MAX(0,(L$13-$P25-$R25*L$17))*$Q25*Assumptions!$B$15</f>
        <v>133.333333333333</v>
      </c>
      <c r="M25" s="76" t="n">
        <f aca="false">MAX(0,(M$13-$P25-$R25*M$17))*$Q25*Assumptions!$B$15</f>
        <v>141.333333333333</v>
      </c>
      <c r="N25" s="75" t="n">
        <f aca="false">SUM(B25:M25)</f>
        <v>1712</v>
      </c>
      <c r="P25" s="72" t="n">
        <v>20</v>
      </c>
      <c r="Q25" s="56" t="n">
        <v>1</v>
      </c>
      <c r="R25" s="72" t="n">
        <v>80</v>
      </c>
      <c r="S25" s="82" t="n">
        <f aca="false">Assumptions!$B$35</f>
        <v>96.3095238095238</v>
      </c>
    </row>
    <row r="26" customFormat="false" ht="15" hidden="false" customHeight="false" outlineLevel="0" collapsed="false">
      <c r="A26" s="55" t="str">
        <f aca="false">'Staff P&amp;L'!$A$10</f>
        <v>Valentina Dikova</v>
      </c>
      <c r="B26" s="76" t="n">
        <f aca="false">MAX(0,(B$13-$P26-$R26*B$17))*$Q26*Assumptions!$B$15</f>
        <v>148</v>
      </c>
      <c r="C26" s="76" t="n">
        <f aca="false">MAX(0,(C$13-$P26-$R26*C$17))*$Q26*Assumptions!$B$15</f>
        <v>140</v>
      </c>
      <c r="D26" s="76" t="n">
        <f aca="false">MAX(0,(D$13-$P26-$R26*D$17))*$Q26*Assumptions!$B$15</f>
        <v>156</v>
      </c>
      <c r="E26" s="76" t="n">
        <f aca="false">MAX(0,(E$13-$P26-$R26*E$17))*$Q26*Assumptions!$B$15</f>
        <v>156</v>
      </c>
      <c r="F26" s="76" t="n">
        <f aca="false">MAX(0,(F$13-$P26-$R26*F$17))*$Q26*Assumptions!$B$15</f>
        <v>140</v>
      </c>
      <c r="G26" s="76" t="n">
        <f aca="false">MAX(0,(G$13-$P26-$R26*G$17))*$Q26*Assumptions!$B$15</f>
        <v>156</v>
      </c>
      <c r="H26" s="76" t="n">
        <f aca="false">MAX(0,(H$13-$P26-$R26*H$17))*$Q26*Assumptions!$B$15</f>
        <v>156</v>
      </c>
      <c r="I26" s="76" t="n">
        <f aca="false">MAX(0,(I$13-$P26-$R26*I$17))*$Q26*Assumptions!$B$15</f>
        <v>148</v>
      </c>
      <c r="J26" s="76" t="n">
        <f aca="false">MAX(0,(J$13-$P26-$R26*J$17))*$Q26*Assumptions!$B$15</f>
        <v>148</v>
      </c>
      <c r="K26" s="76" t="n">
        <f aca="false">MAX(0,(K$13-$P26-$R26*K$17))*$Q26*Assumptions!$B$15</f>
        <v>156</v>
      </c>
      <c r="L26" s="76" t="n">
        <f aca="false">MAX(0,(L$13-$P26-$R26*L$17))*$Q26*Assumptions!$B$15</f>
        <v>140</v>
      </c>
      <c r="M26" s="76" t="n">
        <f aca="false">MAX(0,(M$13-$P26-$R26*M$17))*$Q26*Assumptions!$B$15</f>
        <v>148</v>
      </c>
      <c r="N26" s="75" t="n">
        <f aca="false">SUM(B26:M26)</f>
        <v>1792</v>
      </c>
      <c r="P26" s="72" t="n">
        <v>20</v>
      </c>
      <c r="Q26" s="56" t="n">
        <v>1</v>
      </c>
      <c r="R26" s="72" t="n">
        <v>0</v>
      </c>
      <c r="S26" s="82" t="n">
        <f aca="false">Assumptions!$B$35</f>
        <v>96.3095238095238</v>
      </c>
    </row>
    <row r="27" customFormat="false" ht="15" hidden="false" customHeight="false" outlineLevel="0" collapsed="false">
      <c r="A27" s="55" t="str">
        <f aca="false">'Staff P&amp;L'!$A$11</f>
        <v>Josephine Mack</v>
      </c>
      <c r="B27" s="76" t="n">
        <f aca="false">MAX(0,(B$13-$P27-$R27*B$17))*$Q27*Assumptions!$B$15</f>
        <v>24.2</v>
      </c>
      <c r="C27" s="76" t="n">
        <f aca="false">MAX(0,(C$13-$P27-$R27*C$17))*$Q27*Assumptions!$B$15</f>
        <v>23</v>
      </c>
      <c r="D27" s="76" t="n">
        <f aca="false">MAX(0,(D$13-$P27-$R27*D$17))*$Q27*Assumptions!$B$15</f>
        <v>25.4</v>
      </c>
      <c r="E27" s="76" t="n">
        <f aca="false">MAX(0,(E$13-$P27-$R27*E$17))*$Q27*Assumptions!$B$15</f>
        <v>25.4</v>
      </c>
      <c r="F27" s="76" t="n">
        <f aca="false">MAX(0,(F$13-$P27-$R27*F$17))*$Q27*Assumptions!$B$15</f>
        <v>23</v>
      </c>
      <c r="G27" s="76" t="n">
        <f aca="false">MAX(0,(G$13-$P27-$R27*G$17))*$Q27*Assumptions!$B$15</f>
        <v>25.4</v>
      </c>
      <c r="H27" s="76" t="n">
        <f aca="false">MAX(0,(H$13-$P27-$R27*H$17))*$Q27*Assumptions!$B$15</f>
        <v>25.4</v>
      </c>
      <c r="I27" s="76" t="n">
        <f aca="false">MAX(0,(I$13-$P27-$R27*I$17))*$Q27*Assumptions!$B$15</f>
        <v>24.2</v>
      </c>
      <c r="J27" s="76" t="n">
        <f aca="false">MAX(0,(J$13-$P27-$R27*J$17))*$Q27*Assumptions!$B$15</f>
        <v>24.2</v>
      </c>
      <c r="K27" s="76" t="n">
        <f aca="false">MAX(0,(K$13-$P27-$R27*K$17))*$Q27*Assumptions!$B$15</f>
        <v>25.4</v>
      </c>
      <c r="L27" s="76" t="n">
        <f aca="false">MAX(0,(L$13-$P27-$R27*L$17))*$Q27*Assumptions!$B$15</f>
        <v>23</v>
      </c>
      <c r="M27" s="76" t="n">
        <f aca="false">MAX(0,(M$13-$P27-$R27*M$17))*$Q27*Assumptions!$B$15</f>
        <v>24.2</v>
      </c>
      <c r="N27" s="75" t="n">
        <f aca="false">SUM(B27:M27)</f>
        <v>292.8</v>
      </c>
      <c r="P27" s="72" t="n">
        <v>0</v>
      </c>
      <c r="Q27" s="56" t="n">
        <v>0.15</v>
      </c>
      <c r="R27" s="72" t="n">
        <v>80</v>
      </c>
      <c r="S27" s="82" t="n">
        <f aca="false">Assumptions!$B$35</f>
        <v>96.3095238095238</v>
      </c>
    </row>
    <row r="28" customFormat="false" ht="15" hidden="false" customHeight="false" outlineLevel="0" collapsed="false">
      <c r="A28" s="58" t="s">
        <v>230</v>
      </c>
      <c r="B28" s="47" t="n">
        <f aca="false">SUM(B22:B27)</f>
        <v>676.866666666667</v>
      </c>
      <c r="C28" s="47" t="n">
        <f aca="false">SUM(C22:C27)</f>
        <v>639.666666666667</v>
      </c>
      <c r="D28" s="47" t="n">
        <f aca="false">SUM(D22:D27)</f>
        <v>714.066666666667</v>
      </c>
      <c r="E28" s="47" t="n">
        <f aca="false">SUM(E22:E27)</f>
        <v>714.066666666667</v>
      </c>
      <c r="F28" s="47" t="n">
        <f aca="false">SUM(F22:F27)</f>
        <v>639.666666666667</v>
      </c>
      <c r="G28" s="47" t="n">
        <f aca="false">SUM(G22:G27)</f>
        <v>714.066666666667</v>
      </c>
      <c r="H28" s="47" t="n">
        <f aca="false">SUM(H22:H27)</f>
        <v>714.066666666667</v>
      </c>
      <c r="I28" s="47" t="n">
        <f aca="false">SUM(I22:I27)</f>
        <v>676.866666666667</v>
      </c>
      <c r="J28" s="47" t="n">
        <f aca="false">SUM(J22:J27)</f>
        <v>676.866666666667</v>
      </c>
      <c r="K28" s="47" t="n">
        <f aca="false">SUM(K22:K27)</f>
        <v>714.066666666667</v>
      </c>
      <c r="L28" s="47" t="n">
        <f aca="false">SUM(L22:L27)</f>
        <v>639.666666666667</v>
      </c>
      <c r="M28" s="47" t="n">
        <f aca="false">SUM(M22:M27)</f>
        <v>676.866666666667</v>
      </c>
      <c r="N28" s="47" t="n">
        <f aca="false">SUM(N22:N27)</f>
        <v>8196.8</v>
      </c>
      <c r="P28" s="59"/>
      <c r="Q28" s="59"/>
      <c r="R28" s="59"/>
      <c r="S28" s="59"/>
    </row>
    <row r="30" customFormat="false" ht="15" hidden="false" customHeight="false" outlineLevel="0" collapsed="false">
      <c r="A30" s="69" t="s">
        <v>231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</row>
    <row r="31" customFormat="false" ht="15" hidden="false" customHeight="false" outlineLevel="0" collapsed="false">
      <c r="A31" s="83" t="str">
        <f aca="false">'Staff P&amp;L'!$A$6</f>
        <v>Steven Nikolov</v>
      </c>
      <c r="B31" s="57" t="n">
        <f aca="false">B22*$S22</f>
        <v>20166.6666666667</v>
      </c>
      <c r="C31" s="57" t="n">
        <f aca="false">C22*$S22</f>
        <v>19166.6666666667</v>
      </c>
      <c r="D31" s="57" t="n">
        <f aca="false">D22*$S22</f>
        <v>21166.6666666667</v>
      </c>
      <c r="E31" s="57" t="n">
        <f aca="false">E22*$S22</f>
        <v>21166.6666666667</v>
      </c>
      <c r="F31" s="57" t="n">
        <f aca="false">F22*$S22</f>
        <v>19166.6666666667</v>
      </c>
      <c r="G31" s="57" t="n">
        <f aca="false">G22*$S22</f>
        <v>21166.6666666667</v>
      </c>
      <c r="H31" s="57" t="n">
        <f aca="false">H22*$S22</f>
        <v>21166.6666666667</v>
      </c>
      <c r="I31" s="57" t="n">
        <f aca="false">I22*$S22</f>
        <v>20166.6666666667</v>
      </c>
      <c r="J31" s="57" t="n">
        <f aca="false">J22*$S22</f>
        <v>20166.6666666667</v>
      </c>
      <c r="K31" s="57" t="n">
        <f aca="false">K22*$S22</f>
        <v>21166.6666666667</v>
      </c>
      <c r="L31" s="57" t="n">
        <f aca="false">L22*$S22</f>
        <v>19166.6666666667</v>
      </c>
      <c r="M31" s="57" t="n">
        <f aca="false">M22*$S22</f>
        <v>20166.6666666667</v>
      </c>
      <c r="N31" s="62" t="n">
        <f aca="false">SUM(B31:M31)</f>
        <v>244000</v>
      </c>
    </row>
    <row r="32" customFormat="false" ht="15" hidden="false" customHeight="false" outlineLevel="0" collapsed="false">
      <c r="A32" s="83" t="str">
        <f aca="false">'Staff P&amp;L'!$A$7</f>
        <v>Lisa Danforth</v>
      </c>
      <c r="B32" s="57" t="n">
        <f aca="false">B23*$S23</f>
        <v>35333.3333333333</v>
      </c>
      <c r="C32" s="57" t="n">
        <f aca="false">C23*$S23</f>
        <v>33333.3333333333</v>
      </c>
      <c r="D32" s="57" t="n">
        <f aca="false">D23*$S23</f>
        <v>37333.3333333333</v>
      </c>
      <c r="E32" s="57" t="n">
        <f aca="false">E23*$S23</f>
        <v>37333.3333333333</v>
      </c>
      <c r="F32" s="57" t="n">
        <f aca="false">F23*$S23</f>
        <v>33333.3333333333</v>
      </c>
      <c r="G32" s="57" t="n">
        <f aca="false">G23*$S23</f>
        <v>37333.3333333333</v>
      </c>
      <c r="H32" s="57" t="n">
        <f aca="false">H23*$S23</f>
        <v>37333.3333333333</v>
      </c>
      <c r="I32" s="57" t="n">
        <f aca="false">I23*$S23</f>
        <v>35333.3333333333</v>
      </c>
      <c r="J32" s="57" t="n">
        <f aca="false">J23*$S23</f>
        <v>35333.3333333333</v>
      </c>
      <c r="K32" s="57" t="n">
        <f aca="false">K23*$S23</f>
        <v>37333.3333333333</v>
      </c>
      <c r="L32" s="57" t="n">
        <f aca="false">L23*$S23</f>
        <v>33333.3333333333</v>
      </c>
      <c r="M32" s="57" t="n">
        <f aca="false">M23*$S23</f>
        <v>35333.3333333333</v>
      </c>
      <c r="N32" s="62" t="n">
        <f aca="false">SUM(B32:M32)</f>
        <v>428000</v>
      </c>
    </row>
    <row r="33" customFormat="false" ht="15" hidden="false" customHeight="false" outlineLevel="0" collapsed="false">
      <c r="A33" s="83" t="str">
        <f aca="false">'Staff P&amp;L'!$A$8</f>
        <v>Cindi Campbell</v>
      </c>
      <c r="B33" s="57" t="n">
        <f aca="false">B24*$S24</f>
        <v>21654.2857142857</v>
      </c>
      <c r="C33" s="57" t="n">
        <f aca="false">C24*$S24</f>
        <v>20428.5714285714</v>
      </c>
      <c r="D33" s="57" t="n">
        <f aca="false">D24*$S24</f>
        <v>22880</v>
      </c>
      <c r="E33" s="57" t="n">
        <f aca="false">E24*$S24</f>
        <v>22880</v>
      </c>
      <c r="F33" s="57" t="n">
        <f aca="false">F24*$S24</f>
        <v>20428.5714285714</v>
      </c>
      <c r="G33" s="57" t="n">
        <f aca="false">G24*$S24</f>
        <v>22880</v>
      </c>
      <c r="H33" s="57" t="n">
        <f aca="false">H24*$S24</f>
        <v>22880</v>
      </c>
      <c r="I33" s="57" t="n">
        <f aca="false">I24*$S24</f>
        <v>21654.2857142857</v>
      </c>
      <c r="J33" s="57" t="n">
        <f aca="false">J24*$S24</f>
        <v>21654.2857142857</v>
      </c>
      <c r="K33" s="57" t="n">
        <f aca="false">K24*$S24</f>
        <v>22880</v>
      </c>
      <c r="L33" s="57" t="n">
        <f aca="false">L24*$S24</f>
        <v>20428.5714285714</v>
      </c>
      <c r="M33" s="57" t="n">
        <f aca="false">M24*$S24</f>
        <v>21654.2857142857</v>
      </c>
      <c r="N33" s="62" t="n">
        <f aca="false">SUM(B33:M33)</f>
        <v>262302.857142857</v>
      </c>
    </row>
    <row r="34" customFormat="false" ht="15" hidden="false" customHeight="false" outlineLevel="0" collapsed="false">
      <c r="A34" s="83" t="str">
        <f aca="false">'Staff P&amp;L'!$A$9</f>
        <v>Christine Johnson</v>
      </c>
      <c r="B34" s="57" t="n">
        <f aca="false">B25*$S25</f>
        <v>13611.746031746</v>
      </c>
      <c r="C34" s="57" t="n">
        <f aca="false">C25*$S25</f>
        <v>12841.2698412698</v>
      </c>
      <c r="D34" s="57" t="n">
        <f aca="false">D25*$S25</f>
        <v>14382.2222222222</v>
      </c>
      <c r="E34" s="57" t="n">
        <f aca="false">E25*$S25</f>
        <v>14382.2222222222</v>
      </c>
      <c r="F34" s="57" t="n">
        <f aca="false">F25*$S25</f>
        <v>12841.2698412698</v>
      </c>
      <c r="G34" s="57" t="n">
        <f aca="false">G25*$S25</f>
        <v>14382.2222222222</v>
      </c>
      <c r="H34" s="57" t="n">
        <f aca="false">H25*$S25</f>
        <v>14382.2222222222</v>
      </c>
      <c r="I34" s="57" t="n">
        <f aca="false">I25*$S25</f>
        <v>13611.746031746</v>
      </c>
      <c r="J34" s="57" t="n">
        <f aca="false">J25*$S25</f>
        <v>13611.746031746</v>
      </c>
      <c r="K34" s="57" t="n">
        <f aca="false">K25*$S25</f>
        <v>14382.2222222222</v>
      </c>
      <c r="L34" s="57" t="n">
        <f aca="false">L25*$S25</f>
        <v>12841.2698412698</v>
      </c>
      <c r="M34" s="57" t="n">
        <f aca="false">M25*$S25</f>
        <v>13611.746031746</v>
      </c>
      <c r="N34" s="62" t="n">
        <f aca="false">SUM(B34:M34)</f>
        <v>164881.904761905</v>
      </c>
    </row>
    <row r="35" customFormat="false" ht="15" hidden="false" customHeight="false" outlineLevel="0" collapsed="false">
      <c r="A35" s="83" t="str">
        <f aca="false">'Staff P&amp;L'!$A$10</f>
        <v>Valentina Dikova</v>
      </c>
      <c r="B35" s="57" t="n">
        <f aca="false">B26*$S26</f>
        <v>14253.8095238095</v>
      </c>
      <c r="C35" s="57" t="n">
        <f aca="false">C26*$S26</f>
        <v>13483.3333333333</v>
      </c>
      <c r="D35" s="57" t="n">
        <f aca="false">D26*$S26</f>
        <v>15024.2857142857</v>
      </c>
      <c r="E35" s="57" t="n">
        <f aca="false">E26*$S26</f>
        <v>15024.2857142857</v>
      </c>
      <c r="F35" s="57" t="n">
        <f aca="false">F26*$S26</f>
        <v>13483.3333333333</v>
      </c>
      <c r="G35" s="57" t="n">
        <f aca="false">G26*$S26</f>
        <v>15024.2857142857</v>
      </c>
      <c r="H35" s="57" t="n">
        <f aca="false">H26*$S26</f>
        <v>15024.2857142857</v>
      </c>
      <c r="I35" s="57" t="n">
        <f aca="false">I26*$S26</f>
        <v>14253.8095238095</v>
      </c>
      <c r="J35" s="57" t="n">
        <f aca="false">J26*$S26</f>
        <v>14253.8095238095</v>
      </c>
      <c r="K35" s="57" t="n">
        <f aca="false">K26*$S26</f>
        <v>15024.2857142857</v>
      </c>
      <c r="L35" s="57" t="n">
        <f aca="false">L26*$S26</f>
        <v>13483.3333333333</v>
      </c>
      <c r="M35" s="57" t="n">
        <f aca="false">M26*$S26</f>
        <v>14253.8095238095</v>
      </c>
      <c r="N35" s="62" t="n">
        <f aca="false">SUM(B35:M35)</f>
        <v>172586.666666667</v>
      </c>
    </row>
    <row r="36" customFormat="false" ht="15" hidden="false" customHeight="false" outlineLevel="0" collapsed="false">
      <c r="A36" s="83" t="str">
        <f aca="false">'Staff P&amp;L'!$A$11</f>
        <v>Josephine Mack</v>
      </c>
      <c r="B36" s="57" t="n">
        <f aca="false">B27*$S27</f>
        <v>2330.69047619048</v>
      </c>
      <c r="C36" s="57" t="n">
        <f aca="false">C27*$S27</f>
        <v>2215.11904761905</v>
      </c>
      <c r="D36" s="57" t="n">
        <f aca="false">D27*$S27</f>
        <v>2446.26190476191</v>
      </c>
      <c r="E36" s="57" t="n">
        <f aca="false">E27*$S27</f>
        <v>2446.26190476191</v>
      </c>
      <c r="F36" s="57" t="n">
        <f aca="false">F27*$S27</f>
        <v>2215.11904761905</v>
      </c>
      <c r="G36" s="57" t="n">
        <f aca="false">G27*$S27</f>
        <v>2446.26190476191</v>
      </c>
      <c r="H36" s="57" t="n">
        <f aca="false">H27*$S27</f>
        <v>2446.26190476191</v>
      </c>
      <c r="I36" s="57" t="n">
        <f aca="false">I27*$S27</f>
        <v>2330.69047619048</v>
      </c>
      <c r="J36" s="57" t="n">
        <f aca="false">J27*$S27</f>
        <v>2330.69047619048</v>
      </c>
      <c r="K36" s="57" t="n">
        <f aca="false">K27*$S27</f>
        <v>2446.26190476191</v>
      </c>
      <c r="L36" s="57" t="n">
        <f aca="false">L27*$S27</f>
        <v>2215.11904761905</v>
      </c>
      <c r="M36" s="57" t="n">
        <f aca="false">M27*$S27</f>
        <v>2330.69047619048</v>
      </c>
      <c r="N36" s="62" t="n">
        <f aca="false">SUM(B36:M36)</f>
        <v>28199.4285714286</v>
      </c>
    </row>
    <row r="37" customFormat="false" ht="15" hidden="false" customHeight="false" outlineLevel="0" collapsed="false">
      <c r="A37" s="84" t="s">
        <v>232</v>
      </c>
      <c r="B37" s="85" t="n">
        <f aca="false">SUM(B31:B36)</f>
        <v>107350.531746032</v>
      </c>
      <c r="C37" s="85" t="n">
        <f aca="false">SUM(C31:C36)</f>
        <v>101468.293650794</v>
      </c>
      <c r="D37" s="85" t="n">
        <f aca="false">SUM(D31:D36)</f>
        <v>113232.76984127</v>
      </c>
      <c r="E37" s="85" t="n">
        <f aca="false">SUM(E31:E36)</f>
        <v>113232.76984127</v>
      </c>
      <c r="F37" s="85" t="n">
        <f aca="false">SUM(F31:F36)</f>
        <v>101468.293650794</v>
      </c>
      <c r="G37" s="85" t="n">
        <f aca="false">SUM(G31:G36)</f>
        <v>113232.76984127</v>
      </c>
      <c r="H37" s="85" t="n">
        <f aca="false">SUM(H31:H36)</f>
        <v>113232.76984127</v>
      </c>
      <c r="I37" s="85" t="n">
        <f aca="false">SUM(I31:I36)</f>
        <v>107350.531746032</v>
      </c>
      <c r="J37" s="85" t="n">
        <f aca="false">SUM(J31:J36)</f>
        <v>107350.531746032</v>
      </c>
      <c r="K37" s="85" t="n">
        <f aca="false">SUM(K31:K36)</f>
        <v>113232.76984127</v>
      </c>
      <c r="L37" s="85" t="n">
        <f aca="false">SUM(L31:L36)</f>
        <v>101468.293650794</v>
      </c>
      <c r="M37" s="85" t="n">
        <f aca="false">SUM(M31:M36)</f>
        <v>107350.531746032</v>
      </c>
      <c r="N37" s="85" t="n">
        <f aca="false">SUM(N31:N36)</f>
        <v>1299970.85714286</v>
      </c>
    </row>
    <row r="39" customFormat="false" ht="15" hidden="false" customHeight="false" outlineLevel="0" collapsed="false">
      <c r="A39" s="69" t="s">
        <v>233</v>
      </c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customFormat="false" ht="15" hidden="false" customHeight="false" outlineLevel="0" collapsed="false">
      <c r="A40" s="83" t="str">
        <f aca="false">'Staff P&amp;L'!$A$8</f>
        <v>Cindi Campbell</v>
      </c>
      <c r="B40" s="57" t="n">
        <f aca="false">B14*'Staff P&amp;L'!$D$8</f>
        <v>10560</v>
      </c>
      <c r="C40" s="57" t="n">
        <f aca="false">C14*'Staff P&amp;L'!$D$8</f>
        <v>9600</v>
      </c>
      <c r="D40" s="57" t="n">
        <f aca="false">D14*'Staff P&amp;L'!$D$8</f>
        <v>10560</v>
      </c>
      <c r="E40" s="57" t="n">
        <f aca="false">E14*'Staff P&amp;L'!$D$8</f>
        <v>10560</v>
      </c>
      <c r="F40" s="57" t="n">
        <f aca="false">F14*'Staff P&amp;L'!$D$8</f>
        <v>10080</v>
      </c>
      <c r="G40" s="57" t="n">
        <f aca="false">G14*'Staff P&amp;L'!$D$8</f>
        <v>10560</v>
      </c>
      <c r="H40" s="57" t="n">
        <f aca="false">H14*'Staff P&amp;L'!$D$8</f>
        <v>11040</v>
      </c>
      <c r="I40" s="57" t="n">
        <f aca="false">I14*'Staff P&amp;L'!$D$8</f>
        <v>10080</v>
      </c>
      <c r="J40" s="57" t="n">
        <f aca="false">J14*'Staff P&amp;L'!$D$8</f>
        <v>10560</v>
      </c>
      <c r="K40" s="57" t="n">
        <f aca="false">K14*'Staff P&amp;L'!$D$8</f>
        <v>10560</v>
      </c>
      <c r="L40" s="57" t="n">
        <f aca="false">L14*'Staff P&amp;L'!$D$8</f>
        <v>10080</v>
      </c>
      <c r="M40" s="57" t="n">
        <f aca="false">M14*'Staff P&amp;L'!$D$8</f>
        <v>11040</v>
      </c>
      <c r="N40" s="62" t="n">
        <f aca="false">SUM(B40:M40)</f>
        <v>125280</v>
      </c>
      <c r="P40" s="77" t="s">
        <v>234</v>
      </c>
    </row>
    <row r="41" customFormat="false" ht="15" hidden="false" customHeight="false" outlineLevel="0" collapsed="false">
      <c r="A41" s="83" t="str">
        <f aca="false">'Staff P&amp;L'!$A$9</f>
        <v>Christine Johnson</v>
      </c>
      <c r="B41" s="57" t="n">
        <f aca="false">B14*'Staff P&amp;L'!$D$9</f>
        <v>6160</v>
      </c>
      <c r="C41" s="57" t="n">
        <f aca="false">C14*'Staff P&amp;L'!$D$9</f>
        <v>5600</v>
      </c>
      <c r="D41" s="57" t="n">
        <f aca="false">D14*'Staff P&amp;L'!$D$9</f>
        <v>6160</v>
      </c>
      <c r="E41" s="57" t="n">
        <f aca="false">E14*'Staff P&amp;L'!$D$9</f>
        <v>6160</v>
      </c>
      <c r="F41" s="57" t="n">
        <f aca="false">F14*'Staff P&amp;L'!$D$9</f>
        <v>5880</v>
      </c>
      <c r="G41" s="57" t="n">
        <f aca="false">G14*'Staff P&amp;L'!$D$9</f>
        <v>6160</v>
      </c>
      <c r="H41" s="57" t="n">
        <f aca="false">H14*'Staff P&amp;L'!$D$9</f>
        <v>6440</v>
      </c>
      <c r="I41" s="57" t="n">
        <f aca="false">I14*'Staff P&amp;L'!$D$9</f>
        <v>5880</v>
      </c>
      <c r="J41" s="57" t="n">
        <f aca="false">J14*'Staff P&amp;L'!$D$9</f>
        <v>6160</v>
      </c>
      <c r="K41" s="57" t="n">
        <f aca="false">K14*'Staff P&amp;L'!$D$9</f>
        <v>6160</v>
      </c>
      <c r="L41" s="57" t="n">
        <f aca="false">L14*'Staff P&amp;L'!$D$9</f>
        <v>5880</v>
      </c>
      <c r="M41" s="57" t="n">
        <f aca="false">M14*'Staff P&amp;L'!$D$9</f>
        <v>6440</v>
      </c>
      <c r="N41" s="62" t="n">
        <f aca="false">SUM(B41:M41)</f>
        <v>73080</v>
      </c>
    </row>
    <row r="42" customFormat="false" ht="15" hidden="false" customHeight="false" outlineLevel="0" collapsed="false">
      <c r="A42" s="58" t="s">
        <v>235</v>
      </c>
      <c r="B42" s="60" t="n">
        <f aca="false">SUM(B40:B41)</f>
        <v>16720</v>
      </c>
      <c r="C42" s="60" t="n">
        <f aca="false">SUM(C40:C41)</f>
        <v>15200</v>
      </c>
      <c r="D42" s="60" t="n">
        <f aca="false">SUM(D40:D41)</f>
        <v>16720</v>
      </c>
      <c r="E42" s="60" t="n">
        <f aca="false">SUM(E40:E41)</f>
        <v>16720</v>
      </c>
      <c r="F42" s="60" t="n">
        <f aca="false">SUM(F40:F41)</f>
        <v>15960</v>
      </c>
      <c r="G42" s="60" t="n">
        <f aca="false">SUM(G40:G41)</f>
        <v>16720</v>
      </c>
      <c r="H42" s="60" t="n">
        <f aca="false">SUM(H40:H41)</f>
        <v>17480</v>
      </c>
      <c r="I42" s="60" t="n">
        <f aca="false">SUM(I40:I41)</f>
        <v>15960</v>
      </c>
      <c r="J42" s="60" t="n">
        <f aca="false">SUM(J40:J41)</f>
        <v>16720</v>
      </c>
      <c r="K42" s="60" t="n">
        <f aca="false">SUM(K40:K41)</f>
        <v>16720</v>
      </c>
      <c r="L42" s="60" t="n">
        <f aca="false">SUM(L40:L41)</f>
        <v>15960</v>
      </c>
      <c r="M42" s="60" t="n">
        <f aca="false">SUM(M40:M41)</f>
        <v>17480</v>
      </c>
      <c r="N42" s="60" t="n">
        <f aca="false">SUM(N40:N41)</f>
        <v>198360</v>
      </c>
    </row>
    <row r="44" customFormat="false" ht="15" hidden="false" customHeight="false" outlineLevel="0" collapsed="false">
      <c r="A44" s="65" t="s">
        <v>236</v>
      </c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</row>
    <row r="45" customFormat="false" ht="15" hidden="false" customHeight="false" outlineLevel="0" collapsed="false">
      <c r="A45" s="65" t="s">
        <v>237</v>
      </c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</row>
    <row r="46" customFormat="false" ht="15" hidden="false" customHeight="false" outlineLevel="0" collapsed="false">
      <c r="A46" s="65" t="s">
        <v>238</v>
      </c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</row>
    <row r="47" customFormat="false" ht="15" hidden="false" customHeight="false" outlineLevel="0" collapsed="false">
      <c r="A47" s="65" t="s">
        <v>239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</row>
  </sheetData>
  <mergeCells count="5">
    <mergeCell ref="B18:F18"/>
    <mergeCell ref="A44:N44"/>
    <mergeCell ref="A45:N45"/>
    <mergeCell ref="A46:N46"/>
    <mergeCell ref="A47:N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N16" activeCellId="0" sqref="N16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240</v>
      </c>
    </row>
    <row r="3" customFormat="false" ht="14.25" hidden="false" customHeight="false" outlineLevel="0" collapsed="false">
      <c r="A3" s="86" t="s">
        <v>241</v>
      </c>
    </row>
    <row r="4" customFormat="false" ht="14.25" hidden="false" customHeight="false" outlineLevel="0" collapsed="false">
      <c r="A4" s="19" t="s">
        <v>242</v>
      </c>
    </row>
    <row r="6" customFormat="false" ht="14.25" hidden="false" customHeight="false" outlineLevel="0" collapsed="false">
      <c r="A6" s="16"/>
      <c r="B6" s="5" t="s">
        <v>186</v>
      </c>
      <c r="C6" s="5" t="s">
        <v>187</v>
      </c>
      <c r="D6" s="5" t="s">
        <v>188</v>
      </c>
      <c r="E6" s="5" t="s">
        <v>189</v>
      </c>
      <c r="F6" s="5" t="s">
        <v>190</v>
      </c>
      <c r="G6" s="5" t="s">
        <v>191</v>
      </c>
      <c r="H6" s="5" t="s">
        <v>192</v>
      </c>
      <c r="I6" s="5" t="s">
        <v>193</v>
      </c>
      <c r="J6" s="5" t="s">
        <v>194</v>
      </c>
      <c r="K6" s="5" t="s">
        <v>195</v>
      </c>
      <c r="L6" s="5" t="s">
        <v>196</v>
      </c>
      <c r="M6" s="5" t="s">
        <v>197</v>
      </c>
      <c r="N6" s="5" t="s">
        <v>243</v>
      </c>
    </row>
    <row r="7" customFormat="false" ht="14.25" hidden="false" customHeight="false" outlineLevel="0" collapsed="false">
      <c r="A7" s="15" t="s">
        <v>244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</row>
    <row r="8" customFormat="false" ht="14.25" hidden="false" customHeight="false" outlineLevel="0" collapsed="false">
      <c r="A8" s="17" t="s">
        <v>245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87" t="n">
        <f aca="false">SUM(B8:M8)</f>
        <v>0</v>
      </c>
      <c r="P8" s="88" t="s">
        <v>246</v>
      </c>
    </row>
    <row r="9" customFormat="false" ht="14.25" hidden="false" customHeight="false" outlineLevel="0" collapsed="false">
      <c r="A9" s="17" t="s">
        <v>247</v>
      </c>
      <c r="B9" s="89" t="n">
        <f aca="false">'Monthly Capacity'!B$37</f>
        <v>107350.531746032</v>
      </c>
      <c r="C9" s="89" t="n">
        <f aca="false">'Monthly Capacity'!C$37</f>
        <v>101468.293650794</v>
      </c>
      <c r="D9" s="89" t="n">
        <f aca="false">'Monthly Capacity'!D$37</f>
        <v>113232.76984127</v>
      </c>
      <c r="E9" s="89" t="n">
        <f aca="false">'Monthly Capacity'!E$37</f>
        <v>113232.76984127</v>
      </c>
      <c r="F9" s="89" t="n">
        <f aca="false">'Monthly Capacity'!F$37</f>
        <v>101468.293650794</v>
      </c>
      <c r="G9" s="89" t="n">
        <f aca="false">'Monthly Capacity'!G$37</f>
        <v>113232.76984127</v>
      </c>
      <c r="H9" s="89" t="n">
        <f aca="false">'Monthly Capacity'!H$37</f>
        <v>113232.76984127</v>
      </c>
      <c r="I9" s="89" t="n">
        <f aca="false">'Monthly Capacity'!I$37</f>
        <v>107350.531746032</v>
      </c>
      <c r="J9" s="89" t="n">
        <f aca="false">'Monthly Capacity'!J$37</f>
        <v>107350.531746032</v>
      </c>
      <c r="K9" s="89" t="n">
        <f aca="false">'Monthly Capacity'!K$37</f>
        <v>113232.76984127</v>
      </c>
      <c r="L9" s="89" t="n">
        <f aca="false">'Monthly Capacity'!L$37</f>
        <v>101468.293650794</v>
      </c>
      <c r="M9" s="89" t="n">
        <f aca="false">'Monthly Capacity'!M$37</f>
        <v>107350.531746032</v>
      </c>
      <c r="N9" s="87" t="n">
        <f aca="false">SUM(B9:M9)</f>
        <v>1299970.85714286</v>
      </c>
      <c r="P9" s="88" t="s">
        <v>248</v>
      </c>
    </row>
    <row r="10" customFormat="false" ht="14.25" hidden="false" customHeight="false" outlineLevel="0" collapsed="false">
      <c r="A10" s="90" t="s">
        <v>249</v>
      </c>
      <c r="B10" s="91" t="n">
        <f aca="false">B8+B9</f>
        <v>107350.531746032</v>
      </c>
      <c r="C10" s="91" t="n">
        <f aca="false">C8+C9</f>
        <v>101468.293650794</v>
      </c>
      <c r="D10" s="91" t="n">
        <f aca="false">D8+D9</f>
        <v>113232.76984127</v>
      </c>
      <c r="E10" s="91" t="n">
        <f aca="false">E8+E9</f>
        <v>113232.76984127</v>
      </c>
      <c r="F10" s="91" t="n">
        <f aca="false">F8+F9</f>
        <v>101468.293650794</v>
      </c>
      <c r="G10" s="91" t="n">
        <f aca="false">G8+G9</f>
        <v>113232.76984127</v>
      </c>
      <c r="H10" s="91" t="n">
        <f aca="false">H8+H9</f>
        <v>113232.76984127</v>
      </c>
      <c r="I10" s="91" t="n">
        <f aca="false">I8+I9</f>
        <v>107350.531746032</v>
      </c>
      <c r="J10" s="91" t="n">
        <f aca="false">J8+J9</f>
        <v>107350.531746032</v>
      </c>
      <c r="K10" s="91" t="n">
        <f aca="false">K8+K9</f>
        <v>113232.76984127</v>
      </c>
      <c r="L10" s="91" t="n">
        <f aca="false">L8+L9</f>
        <v>101468.293650794</v>
      </c>
      <c r="M10" s="91" t="n">
        <f aca="false">M8+M9</f>
        <v>107350.531746032</v>
      </c>
      <c r="N10" s="91" t="n">
        <f aca="false">N8+N9</f>
        <v>1299970.85714286</v>
      </c>
    </row>
    <row r="11" customFormat="false" ht="14.25" hidden="false" customHeight="false" outlineLevel="0" collapsed="false">
      <c r="A11" s="15" t="s">
        <v>250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</row>
    <row r="12" customFormat="false" ht="14.25" hidden="false" customHeight="false" outlineLevel="0" collapsed="false">
      <c r="A12" s="17" t="s">
        <v>251</v>
      </c>
      <c r="B12" s="92" t="n">
        <f aca="false">'Staff P&amp;L'!$U$10</f>
        <v>4410</v>
      </c>
      <c r="C12" s="92" t="n">
        <f aca="false">'Staff P&amp;L'!$U$10</f>
        <v>4410</v>
      </c>
      <c r="D12" s="92" t="n">
        <f aca="false">'Staff P&amp;L'!$U$10</f>
        <v>4410</v>
      </c>
      <c r="E12" s="92" t="n">
        <f aca="false">'Staff P&amp;L'!$U$10</f>
        <v>4410</v>
      </c>
      <c r="F12" s="92" t="n">
        <f aca="false">'Staff P&amp;L'!$U$10</f>
        <v>4410</v>
      </c>
      <c r="G12" s="92" t="n">
        <f aca="false">'Staff P&amp;L'!$U$10</f>
        <v>4410</v>
      </c>
      <c r="H12" s="92" t="n">
        <f aca="false">'Staff P&amp;L'!$U$10</f>
        <v>4410</v>
      </c>
      <c r="I12" s="92" t="n">
        <f aca="false">'Staff P&amp;L'!$U$10</f>
        <v>4410</v>
      </c>
      <c r="J12" s="92" t="n">
        <f aca="false">'Staff P&amp;L'!$U$10</f>
        <v>4410</v>
      </c>
      <c r="K12" s="92" t="n">
        <f aca="false">'Staff P&amp;L'!$U$10</f>
        <v>4410</v>
      </c>
      <c r="L12" s="92" t="n">
        <f aca="false">'Staff P&amp;L'!$U$10</f>
        <v>4410</v>
      </c>
      <c r="M12" s="92" t="n">
        <f aca="false">'Staff P&amp;L'!$U$10</f>
        <v>4410</v>
      </c>
      <c r="N12" s="87" t="n">
        <f aca="false">SUM(B12:M12)</f>
        <v>52920</v>
      </c>
      <c r="P12" s="88" t="s">
        <v>252</v>
      </c>
    </row>
    <row r="13" customFormat="false" ht="14.25" hidden="false" customHeight="false" outlineLevel="0" collapsed="false">
      <c r="A13" s="17" t="s">
        <v>253</v>
      </c>
      <c r="B13" s="25" t="n">
        <v>28.48</v>
      </c>
      <c r="C13" s="25" t="n">
        <v>28.48</v>
      </c>
      <c r="D13" s="25" t="n">
        <v>28.48</v>
      </c>
      <c r="E13" s="25" t="n">
        <v>28.48</v>
      </c>
      <c r="F13" s="25" t="n">
        <v>28.48</v>
      </c>
      <c r="G13" s="25" t="n">
        <v>28.48</v>
      </c>
      <c r="H13" s="25" t="n">
        <v>28.48</v>
      </c>
      <c r="I13" s="25" t="n">
        <v>28.48</v>
      </c>
      <c r="J13" s="25" t="n">
        <v>28.48</v>
      </c>
      <c r="K13" s="25" t="n">
        <v>28.48</v>
      </c>
      <c r="L13" s="25" t="n">
        <v>28.48</v>
      </c>
      <c r="M13" s="25" t="n">
        <v>28.48</v>
      </c>
      <c r="N13" s="87" t="n">
        <f aca="false">SUM(B13:M13)</f>
        <v>341.76</v>
      </c>
      <c r="P13" s="88" t="s">
        <v>254</v>
      </c>
    </row>
    <row r="14" customFormat="false" ht="14.25" hidden="false" customHeight="false" outlineLevel="0" collapsed="false">
      <c r="A14" s="93" t="s">
        <v>255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false" ht="14.25" hidden="false" customHeight="false" outlineLevel="0" collapsed="false">
      <c r="A15" s="17" t="s">
        <v>256</v>
      </c>
      <c r="B15" s="94" t="n">
        <v>0</v>
      </c>
      <c r="C15" s="94" t="n">
        <v>0</v>
      </c>
      <c r="D15" s="95" t="n">
        <f aca="false">'Staff P&amp;L'!$D$25</f>
        <v>5679.5</v>
      </c>
      <c r="E15" s="94" t="n">
        <v>0</v>
      </c>
      <c r="F15" s="94" t="n">
        <v>0</v>
      </c>
      <c r="G15" s="95" t="n">
        <f aca="false">'Staff P&amp;L'!$E$25</f>
        <v>5679.5</v>
      </c>
      <c r="H15" s="94" t="n">
        <v>0</v>
      </c>
      <c r="I15" s="94" t="n">
        <v>0</v>
      </c>
      <c r="J15" s="95" t="n">
        <f aca="false">'Staff P&amp;L'!$F$25</f>
        <v>5679.5</v>
      </c>
      <c r="K15" s="94" t="n">
        <v>0</v>
      </c>
      <c r="L15" s="94" t="n">
        <v>0</v>
      </c>
      <c r="M15" s="95" t="n">
        <f aca="false">'Staff P&amp;L'!$G$25</f>
        <v>5679.5</v>
      </c>
      <c r="N15" s="87" t="n">
        <f aca="false">SUM(B15:M15)</f>
        <v>22718</v>
      </c>
      <c r="P15" s="88" t="s">
        <v>257</v>
      </c>
    </row>
    <row r="16" customFormat="false" ht="14.25" hidden="false" customHeight="false" outlineLevel="0" collapsed="false">
      <c r="A16" s="17" t="s">
        <v>258</v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87" t="n">
        <f aca="false">SUM(B16:M16)</f>
        <v>0</v>
      </c>
      <c r="P16" s="88" t="s">
        <v>259</v>
      </c>
    </row>
    <row r="17" customFormat="false" ht="14.25" hidden="false" customHeight="false" outlineLevel="0" collapsed="false">
      <c r="A17" s="17" t="s">
        <v>260</v>
      </c>
      <c r="B17" s="89" t="n">
        <f aca="false">'Staff P&amp;L'!$E$6/12*'Staff P&amp;L'!$T$6+'Staff P&amp;L'!$E$7/12*'Staff P&amp;L'!$T$7+'Monthly Capacity'!B$40*'Staff P&amp;L'!$T$8+'Monthly Capacity'!B$41*'Staff P&amp;L'!$T$9+'Staff P&amp;L'!$E$11/12*'Staff P&amp;L'!$T$11</f>
        <v>40074.1666666667</v>
      </c>
      <c r="C17" s="89" t="n">
        <f aca="false">'Staff P&amp;L'!$E$6/12*'Staff P&amp;L'!$T$6+'Staff P&amp;L'!$E$7/12*'Staff P&amp;L'!$T$7+'Monthly Capacity'!C$40*'Staff P&amp;L'!$T$8+'Monthly Capacity'!C$41*'Staff P&amp;L'!$T$9+'Staff P&amp;L'!$E$11/12*'Staff P&amp;L'!$T$11</f>
        <v>38554.1666666667</v>
      </c>
      <c r="D17" s="89" t="n">
        <f aca="false">'Staff P&amp;L'!$E$6/12*'Staff P&amp;L'!$T$6+'Staff P&amp;L'!$E$7/12*'Staff P&amp;L'!$T$7+'Monthly Capacity'!D$40*'Staff P&amp;L'!$T$8+'Monthly Capacity'!D$41*'Staff P&amp;L'!$T$9+'Staff P&amp;L'!$E$11/12*'Staff P&amp;L'!$T$11</f>
        <v>40074.1666666667</v>
      </c>
      <c r="E17" s="89" t="n">
        <f aca="false">'Staff P&amp;L'!$E$6/12*'Staff P&amp;L'!$T$6+'Staff P&amp;L'!$E$7/12*'Staff P&amp;L'!$T$7+'Monthly Capacity'!E$40*'Staff P&amp;L'!$T$8+'Monthly Capacity'!E$41*'Staff P&amp;L'!$T$9+'Staff P&amp;L'!$E$11/12*'Staff P&amp;L'!$T$11</f>
        <v>40074.1666666667</v>
      </c>
      <c r="F17" s="89" t="n">
        <f aca="false">'Staff P&amp;L'!$E$6/12*'Staff P&amp;L'!$T$6+'Staff P&amp;L'!$E$7/12*'Staff P&amp;L'!$T$7+'Monthly Capacity'!F$40*'Staff P&amp;L'!$T$8+'Monthly Capacity'!F$41*'Staff P&amp;L'!$T$9+'Staff P&amp;L'!$E$11/12*'Staff P&amp;L'!$T$11</f>
        <v>39314.1666666667</v>
      </c>
      <c r="G17" s="89" t="n">
        <f aca="false">'Staff P&amp;L'!$E$6/12*'Staff P&amp;L'!$T$6+'Staff P&amp;L'!$E$7/12*'Staff P&amp;L'!$T$7+'Monthly Capacity'!G$40*'Staff P&amp;L'!$T$8+'Monthly Capacity'!G$41*'Staff P&amp;L'!$T$9+'Staff P&amp;L'!$E$11/12*'Staff P&amp;L'!$T$11</f>
        <v>40074.1666666667</v>
      </c>
      <c r="H17" s="89" t="n">
        <f aca="false">'Staff P&amp;L'!$E$6/12*'Staff P&amp;L'!$T$6+'Staff P&amp;L'!$E$7/12*'Staff P&amp;L'!$T$7+'Monthly Capacity'!H$40*'Staff P&amp;L'!$T$8+'Monthly Capacity'!H$41*'Staff P&amp;L'!$T$9+'Staff P&amp;L'!$E$11/12*'Staff P&amp;L'!$T$11</f>
        <v>40834.1666666667</v>
      </c>
      <c r="I17" s="89" t="n">
        <f aca="false">'Staff P&amp;L'!$E$6/12*'Staff P&amp;L'!$T$6+'Staff P&amp;L'!$E$7/12*'Staff P&amp;L'!$T$7+'Monthly Capacity'!I$40*'Staff P&amp;L'!$T$8+'Monthly Capacity'!I$41*'Staff P&amp;L'!$T$9+'Staff P&amp;L'!$E$11/12*'Staff P&amp;L'!$T$11</f>
        <v>39314.1666666667</v>
      </c>
      <c r="J17" s="89" t="n">
        <f aca="false">'Staff P&amp;L'!$E$6/12*'Staff P&amp;L'!$T$6+'Staff P&amp;L'!$E$7/12*'Staff P&amp;L'!$T$7+'Monthly Capacity'!J$40*'Staff P&amp;L'!$T$8+'Monthly Capacity'!J$41*'Staff P&amp;L'!$T$9+'Staff P&amp;L'!$E$11/12*'Staff P&amp;L'!$T$11</f>
        <v>40074.1666666667</v>
      </c>
      <c r="K17" s="89" t="n">
        <f aca="false">'Staff P&amp;L'!$E$6/12*'Staff P&amp;L'!$T$6+'Staff P&amp;L'!$E$7/12*'Staff P&amp;L'!$T$7+'Monthly Capacity'!K$40*'Staff P&amp;L'!$T$8+'Monthly Capacity'!K$41*'Staff P&amp;L'!$T$9+'Staff P&amp;L'!$E$11/12*'Staff P&amp;L'!$T$11</f>
        <v>40074.1666666667</v>
      </c>
      <c r="L17" s="89" t="n">
        <f aca="false">'Staff P&amp;L'!$E$6/12*'Staff P&amp;L'!$T$6+'Staff P&amp;L'!$E$7/12*'Staff P&amp;L'!$T$7+'Monthly Capacity'!L$40*'Staff P&amp;L'!$T$8+'Monthly Capacity'!L$41*'Staff P&amp;L'!$T$9+'Staff P&amp;L'!$E$11/12*'Staff P&amp;L'!$T$11</f>
        <v>39314.1666666667</v>
      </c>
      <c r="M17" s="89" t="n">
        <f aca="false">'Staff P&amp;L'!$E$6/12*'Staff P&amp;L'!$T$6+'Staff P&amp;L'!$E$7/12*'Staff P&amp;L'!$T$7+'Monthly Capacity'!M$40*'Staff P&amp;L'!$T$8+'Monthly Capacity'!M$41*'Staff P&amp;L'!$T$9+'Staff P&amp;L'!$E$11/12*'Staff P&amp;L'!$T$11</f>
        <v>40834.1666666667</v>
      </c>
      <c r="N17" s="87" t="n">
        <f aca="false">SUM(B17:M17)</f>
        <v>478610</v>
      </c>
      <c r="P17" s="88" t="s">
        <v>261</v>
      </c>
    </row>
    <row r="18" customFormat="false" ht="14.25" hidden="false" customHeight="false" outlineLevel="0" collapsed="false">
      <c r="A18" s="17" t="s">
        <v>262</v>
      </c>
      <c r="B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C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D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P&amp;L'!$D$25/'Staff P&amp;L'!$H$25*'Staff P&amp;L'!$I$25,0)</f>
        <v>3527.56883333333</v>
      </c>
      <c r="E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F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G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P&amp;L'!$E$25/'Staff P&amp;L'!$H$25*'Staff P&amp;L'!$I$25,0)</f>
        <v>3527.56883333333</v>
      </c>
      <c r="H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I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J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P&amp;L'!$F$25/'Staff P&amp;L'!$H$25*'Staff P&amp;L'!$I$25,0)</f>
        <v>3527.56883333333</v>
      </c>
      <c r="K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L18" s="89" t="n">
        <f aca="false">'Staff P&amp;L'!$J$6/12*'Staff P&amp;L'!$T$6+'Staff P&amp;L'!$J$7/12*'Staff P&amp;L'!$T$7+'Staff P&amp;L'!$J$8/12*'Staff P&amp;L'!$T$8+'Staff P&amp;L'!$J$9/12*'Staff P&amp;L'!$T$9+'Staff P&amp;L'!$J$11/12*'Staff P&amp;L'!$T$11</f>
        <v>3097.73708333333</v>
      </c>
      <c r="M18" s="89" t="n">
        <f aca="false">'Staff P&amp;L'!$J$6/12*'Staff P&amp;L'!$T$6+'Staff P&amp;L'!$J$7/12*'Staff P&amp;L'!$T$7+'Staff P&amp;L'!$J$8/12*'Staff P&amp;L'!$T$8+'Staff P&amp;L'!$J$9/12*'Staff P&amp;L'!$T$9+'Staff P&amp;L'!$J$11/12*'Staff P&amp;L'!$T$11+IFERROR('Staff P&amp;L'!$G$25/'Staff P&amp;L'!$H$25*'Staff P&amp;L'!$I$25,0)</f>
        <v>3527.56883333333</v>
      </c>
      <c r="N18" s="87" t="n">
        <f aca="false">SUM(B18:M18)</f>
        <v>38892.172</v>
      </c>
      <c r="P18" s="88" t="s">
        <v>263</v>
      </c>
    </row>
    <row r="19" customFormat="false" ht="14.25" hidden="false" customHeight="false" outlineLevel="0" collapsed="false">
      <c r="A19" s="17" t="s">
        <v>264</v>
      </c>
      <c r="B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96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87" t="n">
        <f aca="false">SUM(B19:M19)</f>
        <v>35040</v>
      </c>
      <c r="P19" s="88" t="s">
        <v>265</v>
      </c>
    </row>
    <row r="20" customFormat="false" ht="14.25" hidden="false" customHeight="false" outlineLevel="0" collapsed="false">
      <c r="A20" s="90" t="s">
        <v>266</v>
      </c>
      <c r="B20" s="91" t="n">
        <f aca="false">B15+B16+B17+B18+B19</f>
        <v>46091.90375</v>
      </c>
      <c r="C20" s="91" t="n">
        <f aca="false">C15+C16+C17+C18+C19</f>
        <v>44571.90375</v>
      </c>
      <c r="D20" s="91" t="n">
        <f aca="false">D15+D16+D17+D18+D19</f>
        <v>52201.2355</v>
      </c>
      <c r="E20" s="91" t="n">
        <f aca="false">E15+E16+E17+E18+E19</f>
        <v>46091.90375</v>
      </c>
      <c r="F20" s="91" t="n">
        <f aca="false">F15+F16+F17+F18+F19</f>
        <v>45331.90375</v>
      </c>
      <c r="G20" s="91" t="n">
        <f aca="false">G15+G16+G17+G18+G19</f>
        <v>52201.2355</v>
      </c>
      <c r="H20" s="91" t="n">
        <f aca="false">H15+H16+H17+H18+H19</f>
        <v>46851.90375</v>
      </c>
      <c r="I20" s="91" t="n">
        <f aca="false">I15+I16+I17+I18+I19</f>
        <v>45331.90375</v>
      </c>
      <c r="J20" s="91" t="n">
        <f aca="false">J15+J16+J17+J18+J19</f>
        <v>52201.2355</v>
      </c>
      <c r="K20" s="91" t="n">
        <f aca="false">K15+K16+K17+K18+K19</f>
        <v>46091.90375</v>
      </c>
      <c r="L20" s="91" t="n">
        <f aca="false">L15+L16+L17+L18+L19</f>
        <v>45331.90375</v>
      </c>
      <c r="M20" s="91" t="n">
        <f aca="false">M15+M16+M17+M18+M19</f>
        <v>52961.2355</v>
      </c>
      <c r="N20" s="91" t="n">
        <f aca="false">N15+N16+N17+N18+N19</f>
        <v>575260.172</v>
      </c>
    </row>
    <row r="21" customFormat="false" ht="14.25" hidden="false" customHeight="false" outlineLevel="0" collapsed="false">
      <c r="A21" s="90" t="s">
        <v>267</v>
      </c>
      <c r="B21" s="91" t="n">
        <f aca="false">B12+B13+B20</f>
        <v>50530.38375</v>
      </c>
      <c r="C21" s="91" t="n">
        <f aca="false">C12+C13+C20</f>
        <v>49010.38375</v>
      </c>
      <c r="D21" s="91" t="n">
        <f aca="false">D12+D13+D20</f>
        <v>56639.7155</v>
      </c>
      <c r="E21" s="91" t="n">
        <f aca="false">E12+E13+E20</f>
        <v>50530.38375</v>
      </c>
      <c r="F21" s="91" t="n">
        <f aca="false">F12+F13+F20</f>
        <v>49770.38375</v>
      </c>
      <c r="G21" s="91" t="n">
        <f aca="false">G12+G13+G20</f>
        <v>56639.7155</v>
      </c>
      <c r="H21" s="91" t="n">
        <f aca="false">H12+H13+H20</f>
        <v>51290.38375</v>
      </c>
      <c r="I21" s="91" t="n">
        <f aca="false">I12+I13+I20</f>
        <v>49770.38375</v>
      </c>
      <c r="J21" s="91" t="n">
        <f aca="false">J12+J13+J20</f>
        <v>56639.7155</v>
      </c>
      <c r="K21" s="91" t="n">
        <f aca="false">K12+K13+K20</f>
        <v>50530.38375</v>
      </c>
      <c r="L21" s="91" t="n">
        <f aca="false">L12+L13+L20</f>
        <v>49770.38375</v>
      </c>
      <c r="M21" s="91" t="n">
        <f aca="false">M12+M13+M20</f>
        <v>57399.7155</v>
      </c>
      <c r="N21" s="91" t="n">
        <f aca="false">N12+N13+N20</f>
        <v>628521.932</v>
      </c>
    </row>
    <row r="22" customFormat="false" ht="14.25" hidden="false" customHeight="false" outlineLevel="0" collapsed="false">
      <c r="A22" s="97" t="s">
        <v>268</v>
      </c>
      <c r="B22" s="46" t="n">
        <f aca="false">B10-B21</f>
        <v>56820.1479960318</v>
      </c>
      <c r="C22" s="46" t="n">
        <f aca="false">C10-C21</f>
        <v>52457.9099007937</v>
      </c>
      <c r="D22" s="46" t="n">
        <f aca="false">D10-D21</f>
        <v>56593.0543412699</v>
      </c>
      <c r="E22" s="46" t="n">
        <f aca="false">E10-E21</f>
        <v>62702.3860912699</v>
      </c>
      <c r="F22" s="46" t="n">
        <f aca="false">F10-F21</f>
        <v>51697.9099007937</v>
      </c>
      <c r="G22" s="46" t="n">
        <f aca="false">G10-G21</f>
        <v>56593.0543412699</v>
      </c>
      <c r="H22" s="46" t="n">
        <f aca="false">H10-H21</f>
        <v>61942.3860912699</v>
      </c>
      <c r="I22" s="46" t="n">
        <f aca="false">I10-I21</f>
        <v>57580.1479960318</v>
      </c>
      <c r="J22" s="46" t="n">
        <f aca="false">J10-J21</f>
        <v>50710.8162460318</v>
      </c>
      <c r="K22" s="46" t="n">
        <f aca="false">K10-K21</f>
        <v>62702.3860912699</v>
      </c>
      <c r="L22" s="46" t="n">
        <f aca="false">L10-L21</f>
        <v>51697.9099007937</v>
      </c>
      <c r="M22" s="46" t="n">
        <f aca="false">M10-M21</f>
        <v>49950.8162460318</v>
      </c>
      <c r="N22" s="46" t="n">
        <f aca="false">N10-N21</f>
        <v>671448.925142857</v>
      </c>
    </row>
    <row r="23" customFormat="false" ht="14.25" hidden="false" customHeight="false" outlineLevel="0" collapsed="false">
      <c r="A23" s="15" t="s">
        <v>269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customFormat="false" ht="14.25" hidden="false" customHeight="false" outlineLevel="0" collapsed="false">
      <c r="A24" s="17" t="s">
        <v>270</v>
      </c>
      <c r="B24" s="92" t="n">
        <f aca="false">'Staff P&amp;L'!$E$6/12*(1-'Staff P&amp;L'!$T$6)</f>
        <v>7687.5</v>
      </c>
      <c r="C24" s="92" t="n">
        <f aca="false">'Staff P&amp;L'!$E$6/12*(1-'Staff P&amp;L'!$T$6)</f>
        <v>7687.5</v>
      </c>
      <c r="D24" s="92" t="n">
        <f aca="false">'Staff P&amp;L'!$E$6/12*(1-'Staff P&amp;L'!$T$6)</f>
        <v>7687.5</v>
      </c>
      <c r="E24" s="92" t="n">
        <f aca="false">'Staff P&amp;L'!$E$6/12*(1-'Staff P&amp;L'!$T$6)</f>
        <v>7687.5</v>
      </c>
      <c r="F24" s="92" t="n">
        <f aca="false">'Staff P&amp;L'!$E$6/12*(1-'Staff P&amp;L'!$T$6)</f>
        <v>7687.5</v>
      </c>
      <c r="G24" s="92" t="n">
        <f aca="false">'Staff P&amp;L'!$E$6/12*(1-'Staff P&amp;L'!$T$6)</f>
        <v>7687.5</v>
      </c>
      <c r="H24" s="92" t="n">
        <f aca="false">'Staff P&amp;L'!$E$6/12*(1-'Staff P&amp;L'!$T$6)</f>
        <v>7687.5</v>
      </c>
      <c r="I24" s="92" t="n">
        <f aca="false">'Staff P&amp;L'!$E$6/12*(1-'Staff P&amp;L'!$T$6)</f>
        <v>7687.5</v>
      </c>
      <c r="J24" s="92" t="n">
        <f aca="false">'Staff P&amp;L'!$E$6/12*(1-'Staff P&amp;L'!$T$6)</f>
        <v>7687.5</v>
      </c>
      <c r="K24" s="92" t="n">
        <f aca="false">'Staff P&amp;L'!$E$6/12*(1-'Staff P&amp;L'!$T$6)</f>
        <v>7687.5</v>
      </c>
      <c r="L24" s="92" t="n">
        <f aca="false">'Staff P&amp;L'!$E$6/12*(1-'Staff P&amp;L'!$T$6)</f>
        <v>7687.5</v>
      </c>
      <c r="M24" s="92" t="n">
        <f aca="false">'Staff P&amp;L'!$E$6/12*(1-'Staff P&amp;L'!$T$6)</f>
        <v>7687.5</v>
      </c>
      <c r="N24" s="87" t="n">
        <f aca="false">SUM(B24:M24)</f>
        <v>92250</v>
      </c>
      <c r="P24" s="88" t="s">
        <v>271</v>
      </c>
    </row>
    <row r="25" customFormat="false" ht="14.25" hidden="false" customHeight="false" outlineLevel="0" collapsed="false">
      <c r="A25" s="17" t="s">
        <v>272</v>
      </c>
      <c r="B25" s="92" t="n">
        <f aca="false">'Staff P&amp;L'!$E$11/12*(1-'Staff P&amp;L'!$T$11)</f>
        <v>5666.66666666667</v>
      </c>
      <c r="C25" s="92" t="n">
        <f aca="false">'Staff P&amp;L'!$E$11/12*(1-'Staff P&amp;L'!$T$11)</f>
        <v>5666.66666666667</v>
      </c>
      <c r="D25" s="92" t="n">
        <f aca="false">'Staff P&amp;L'!$E$11/12*(1-'Staff P&amp;L'!$T$11)</f>
        <v>5666.66666666667</v>
      </c>
      <c r="E25" s="92" t="n">
        <f aca="false">'Staff P&amp;L'!$E$11/12*(1-'Staff P&amp;L'!$T$11)</f>
        <v>5666.66666666667</v>
      </c>
      <c r="F25" s="92" t="n">
        <f aca="false">'Staff P&amp;L'!$E$11/12*(1-'Staff P&amp;L'!$T$11)</f>
        <v>5666.66666666667</v>
      </c>
      <c r="G25" s="92" t="n">
        <f aca="false">'Staff P&amp;L'!$E$11/12*(1-'Staff P&amp;L'!$T$11)</f>
        <v>5666.66666666667</v>
      </c>
      <c r="H25" s="92" t="n">
        <f aca="false">'Staff P&amp;L'!$E$11/12*(1-'Staff P&amp;L'!$T$11)</f>
        <v>5666.66666666667</v>
      </c>
      <c r="I25" s="92" t="n">
        <f aca="false">'Staff P&amp;L'!$E$11/12*(1-'Staff P&amp;L'!$T$11)</f>
        <v>5666.66666666667</v>
      </c>
      <c r="J25" s="92" t="n">
        <f aca="false">'Staff P&amp;L'!$E$11/12*(1-'Staff P&amp;L'!$T$11)</f>
        <v>5666.66666666667</v>
      </c>
      <c r="K25" s="92" t="n">
        <f aca="false">'Staff P&amp;L'!$E$11/12*(1-'Staff P&amp;L'!$T$11)</f>
        <v>5666.66666666667</v>
      </c>
      <c r="L25" s="92" t="n">
        <f aca="false">'Staff P&amp;L'!$E$11/12*(1-'Staff P&amp;L'!$T$11)</f>
        <v>5666.66666666667</v>
      </c>
      <c r="M25" s="92" t="n">
        <f aca="false">'Staff P&amp;L'!$E$11/12*(1-'Staff P&amp;L'!$T$11)</f>
        <v>5666.66666666667</v>
      </c>
      <c r="N25" s="87" t="n">
        <f aca="false">SUM(B25:M25)</f>
        <v>68000</v>
      </c>
      <c r="P25" s="88" t="s">
        <v>273</v>
      </c>
    </row>
    <row r="26" customFormat="false" ht="14.25" hidden="false" customHeight="false" outlineLevel="0" collapsed="false">
      <c r="A26" s="17" t="s">
        <v>274</v>
      </c>
      <c r="B26" s="92" t="n">
        <f aca="false">'Staff P&amp;L'!$J$6/12*(1-'Staff P&amp;L'!$T$6)+'Staff P&amp;L'!$J$11/12*(1-'Staff P&amp;L'!$T$11)</f>
        <v>1038.82875</v>
      </c>
      <c r="C26" s="92" t="n">
        <f aca="false">'Staff P&amp;L'!$J$6/12*(1-'Staff P&amp;L'!$T$6)+'Staff P&amp;L'!$J$11/12*(1-'Staff P&amp;L'!$T$11)</f>
        <v>1038.82875</v>
      </c>
      <c r="D26" s="92" t="n">
        <f aca="false">'Staff P&amp;L'!$J$6/12*(1-'Staff P&amp;L'!$T$6)+'Staff P&amp;L'!$J$11/12*(1-'Staff P&amp;L'!$T$11)</f>
        <v>1038.82875</v>
      </c>
      <c r="E26" s="92" t="n">
        <f aca="false">'Staff P&amp;L'!$J$6/12*(1-'Staff P&amp;L'!$T$6)+'Staff P&amp;L'!$J$11/12*(1-'Staff P&amp;L'!$T$11)</f>
        <v>1038.82875</v>
      </c>
      <c r="F26" s="92" t="n">
        <f aca="false">'Staff P&amp;L'!$J$6/12*(1-'Staff P&amp;L'!$T$6)+'Staff P&amp;L'!$J$11/12*(1-'Staff P&amp;L'!$T$11)</f>
        <v>1038.82875</v>
      </c>
      <c r="G26" s="92" t="n">
        <f aca="false">'Staff P&amp;L'!$J$6/12*(1-'Staff P&amp;L'!$T$6)+'Staff P&amp;L'!$J$11/12*(1-'Staff P&amp;L'!$T$11)</f>
        <v>1038.82875</v>
      </c>
      <c r="H26" s="92" t="n">
        <f aca="false">'Staff P&amp;L'!$J$6/12*(1-'Staff P&amp;L'!$T$6)+'Staff P&amp;L'!$J$11/12*(1-'Staff P&amp;L'!$T$11)</f>
        <v>1038.82875</v>
      </c>
      <c r="I26" s="92" t="n">
        <f aca="false">'Staff P&amp;L'!$J$6/12*(1-'Staff P&amp;L'!$T$6)+'Staff P&amp;L'!$J$11/12*(1-'Staff P&amp;L'!$T$11)</f>
        <v>1038.82875</v>
      </c>
      <c r="J26" s="92" t="n">
        <f aca="false">'Staff P&amp;L'!$J$6/12*(1-'Staff P&amp;L'!$T$6)+'Staff P&amp;L'!$J$11/12*(1-'Staff P&amp;L'!$T$11)</f>
        <v>1038.82875</v>
      </c>
      <c r="K26" s="92" t="n">
        <f aca="false">'Staff P&amp;L'!$J$6/12*(1-'Staff P&amp;L'!$T$6)+'Staff P&amp;L'!$J$11/12*(1-'Staff P&amp;L'!$T$11)</f>
        <v>1038.82875</v>
      </c>
      <c r="L26" s="92" t="n">
        <f aca="false">'Staff P&amp;L'!$J$6/12*(1-'Staff P&amp;L'!$T$6)+'Staff P&amp;L'!$J$11/12*(1-'Staff P&amp;L'!$T$11)</f>
        <v>1038.82875</v>
      </c>
      <c r="M26" s="92" t="n">
        <f aca="false">'Staff P&amp;L'!$J$6/12*(1-'Staff P&amp;L'!$T$6)+'Staff P&amp;L'!$J$11/12*(1-'Staff P&amp;L'!$T$11)</f>
        <v>1038.82875</v>
      </c>
      <c r="N26" s="87" t="n">
        <f aca="false">SUM(B26:M26)</f>
        <v>12465.945</v>
      </c>
    </row>
    <row r="27" customFormat="false" ht="14.25" hidden="false" customHeight="false" outlineLevel="0" collapsed="false">
      <c r="A27" s="17" t="s">
        <v>275</v>
      </c>
      <c r="B27" s="92" t="n">
        <f aca="false">'Staff P&amp;L'!$K$6*(1-'Staff P&amp;L'!$T$6)+'Staff P&amp;L'!$K$11*(1-'Staff P&amp;L'!$T$11)</f>
        <v>1080</v>
      </c>
      <c r="C27" s="92" t="n">
        <f aca="false">'Staff P&amp;L'!$K$6*(1-'Staff P&amp;L'!$T$6)+'Staff P&amp;L'!$K$11*(1-'Staff P&amp;L'!$T$11)</f>
        <v>1080</v>
      </c>
      <c r="D27" s="92" t="n">
        <f aca="false">'Staff P&amp;L'!$K$6*(1-'Staff P&amp;L'!$T$6)+'Staff P&amp;L'!$K$11*(1-'Staff P&amp;L'!$T$11)</f>
        <v>1080</v>
      </c>
      <c r="E27" s="92" t="n">
        <f aca="false">'Staff P&amp;L'!$K$6*(1-'Staff P&amp;L'!$T$6)+'Staff P&amp;L'!$K$11*(1-'Staff P&amp;L'!$T$11)</f>
        <v>1080</v>
      </c>
      <c r="F27" s="92" t="n">
        <f aca="false">'Staff P&amp;L'!$K$6*(1-'Staff P&amp;L'!$T$6)+'Staff P&amp;L'!$K$11*(1-'Staff P&amp;L'!$T$11)</f>
        <v>1080</v>
      </c>
      <c r="G27" s="92" t="n">
        <f aca="false">'Staff P&amp;L'!$K$6*(1-'Staff P&amp;L'!$T$6)+'Staff P&amp;L'!$K$11*(1-'Staff P&amp;L'!$T$11)</f>
        <v>1080</v>
      </c>
      <c r="H27" s="92" t="n">
        <f aca="false">'Staff P&amp;L'!$K$6*(1-'Staff P&amp;L'!$T$6)+'Staff P&amp;L'!$K$11*(1-'Staff P&amp;L'!$T$11)</f>
        <v>1080</v>
      </c>
      <c r="I27" s="92" t="n">
        <f aca="false">'Staff P&amp;L'!$K$6*(1-'Staff P&amp;L'!$T$6)+'Staff P&amp;L'!$K$11*(1-'Staff P&amp;L'!$T$11)</f>
        <v>1080</v>
      </c>
      <c r="J27" s="92" t="n">
        <f aca="false">'Staff P&amp;L'!$K$6*(1-'Staff P&amp;L'!$T$6)+'Staff P&amp;L'!$K$11*(1-'Staff P&amp;L'!$T$11)</f>
        <v>1080</v>
      </c>
      <c r="K27" s="92" t="n">
        <f aca="false">'Staff P&amp;L'!$K$6*(1-'Staff P&amp;L'!$T$6)+'Staff P&amp;L'!$K$11*(1-'Staff P&amp;L'!$T$11)</f>
        <v>1080</v>
      </c>
      <c r="L27" s="92" t="n">
        <f aca="false">'Staff P&amp;L'!$K$6*(1-'Staff P&amp;L'!$T$6)+'Staff P&amp;L'!$K$11*(1-'Staff P&amp;L'!$T$11)</f>
        <v>1080</v>
      </c>
      <c r="M27" s="92" t="n">
        <f aca="false">'Staff P&amp;L'!$K$6*(1-'Staff P&amp;L'!$T$6)+'Staff P&amp;L'!$K$11*(1-'Staff P&amp;L'!$T$11)</f>
        <v>1080</v>
      </c>
      <c r="N27" s="87" t="n">
        <f aca="false">SUM(B27:M27)</f>
        <v>12960</v>
      </c>
    </row>
    <row r="28" customFormat="false" ht="14.25" hidden="false" customHeight="false" outlineLevel="0" collapsed="false">
      <c r="A28" s="17" t="s">
        <v>276</v>
      </c>
      <c r="B28" s="25" t="n">
        <v>56.33</v>
      </c>
      <c r="C28" s="25" t="n">
        <v>56.33</v>
      </c>
      <c r="D28" s="25" t="n">
        <v>56.33</v>
      </c>
      <c r="E28" s="25" t="n">
        <v>56.33</v>
      </c>
      <c r="F28" s="25" t="n">
        <v>56.33</v>
      </c>
      <c r="G28" s="25" t="n">
        <v>56.33</v>
      </c>
      <c r="H28" s="25" t="n">
        <v>56.33</v>
      </c>
      <c r="I28" s="25" t="n">
        <v>56.33</v>
      </c>
      <c r="J28" s="25" t="n">
        <v>56.33</v>
      </c>
      <c r="K28" s="25" t="n">
        <v>56.33</v>
      </c>
      <c r="L28" s="25" t="n">
        <v>56.33</v>
      </c>
      <c r="M28" s="25" t="n">
        <v>56.33</v>
      </c>
      <c r="N28" s="87" t="n">
        <f aca="false">SUM(B28:M28)</f>
        <v>675.96</v>
      </c>
      <c r="P28" s="88" t="s">
        <v>277</v>
      </c>
    </row>
    <row r="29" customFormat="false" ht="14.25" hidden="false" customHeight="false" outlineLevel="0" collapsed="false">
      <c r="A29" s="17" t="s">
        <v>278</v>
      </c>
      <c r="B29" s="25" t="n">
        <v>35.42</v>
      </c>
      <c r="C29" s="25" t="n">
        <v>35.42</v>
      </c>
      <c r="D29" s="25" t="n">
        <v>35.42</v>
      </c>
      <c r="E29" s="25" t="n">
        <v>35.42</v>
      </c>
      <c r="F29" s="25" t="n">
        <v>35.42</v>
      </c>
      <c r="G29" s="25" t="n">
        <v>35.42</v>
      </c>
      <c r="H29" s="25" t="n">
        <v>35.42</v>
      </c>
      <c r="I29" s="25" t="n">
        <v>35.42</v>
      </c>
      <c r="J29" s="25" t="n">
        <v>35.42</v>
      </c>
      <c r="K29" s="25" t="n">
        <v>35.42</v>
      </c>
      <c r="L29" s="25" t="n">
        <v>35.42</v>
      </c>
      <c r="M29" s="25" t="n">
        <v>35.42</v>
      </c>
      <c r="N29" s="87" t="n">
        <f aca="false">SUM(B29:M29)</f>
        <v>425.04</v>
      </c>
      <c r="P29" s="88" t="s">
        <v>277</v>
      </c>
    </row>
    <row r="30" customFormat="false" ht="14.25" hidden="false" customHeight="false" outlineLevel="0" collapsed="false">
      <c r="A30" s="17" t="s">
        <v>279</v>
      </c>
      <c r="B30" s="25" t="n">
        <v>118</v>
      </c>
      <c r="C30" s="25" t="n">
        <v>118</v>
      </c>
      <c r="D30" s="25" t="n">
        <v>118</v>
      </c>
      <c r="E30" s="25" t="n">
        <v>118</v>
      </c>
      <c r="F30" s="25" t="n">
        <v>118</v>
      </c>
      <c r="G30" s="25" t="n">
        <v>118</v>
      </c>
      <c r="H30" s="25" t="n">
        <v>118</v>
      </c>
      <c r="I30" s="25" t="n">
        <v>118</v>
      </c>
      <c r="J30" s="25" t="n">
        <v>118</v>
      </c>
      <c r="K30" s="25" t="n">
        <v>118</v>
      </c>
      <c r="L30" s="25" t="n">
        <v>118</v>
      </c>
      <c r="M30" s="25" t="n">
        <v>118</v>
      </c>
      <c r="N30" s="87" t="n">
        <f aca="false">SUM(B30:M30)</f>
        <v>1416</v>
      </c>
      <c r="P30" s="88" t="s">
        <v>277</v>
      </c>
    </row>
    <row r="31" customFormat="false" ht="14.25" hidden="false" customHeight="false" outlineLevel="0" collapsed="false">
      <c r="A31" s="17" t="s">
        <v>280</v>
      </c>
      <c r="B31" s="25" t="n">
        <v>171.66</v>
      </c>
      <c r="C31" s="25" t="n">
        <v>171.66</v>
      </c>
      <c r="D31" s="25" t="n">
        <v>171.66</v>
      </c>
      <c r="E31" s="25" t="n">
        <v>171.66</v>
      </c>
      <c r="F31" s="25" t="n">
        <v>171.66</v>
      </c>
      <c r="G31" s="25" t="n">
        <v>171.66</v>
      </c>
      <c r="H31" s="25" t="n">
        <v>171.66</v>
      </c>
      <c r="I31" s="25" t="n">
        <v>171.66</v>
      </c>
      <c r="J31" s="25" t="n">
        <v>171.66</v>
      </c>
      <c r="K31" s="25" t="n">
        <v>171.66</v>
      </c>
      <c r="L31" s="25" t="n">
        <v>171.66</v>
      </c>
      <c r="M31" s="25" t="n">
        <v>171.66</v>
      </c>
      <c r="N31" s="87" t="n">
        <f aca="false">SUM(B31:M31)</f>
        <v>2059.92</v>
      </c>
      <c r="P31" s="88" t="s">
        <v>277</v>
      </c>
    </row>
    <row r="32" customFormat="false" ht="14.25" hidden="false" customHeight="false" outlineLevel="0" collapsed="false">
      <c r="A32" s="17" t="s">
        <v>281</v>
      </c>
      <c r="B32" s="25" t="n">
        <f aca="false">1000*1.15</f>
        <v>1150</v>
      </c>
      <c r="C32" s="25" t="n">
        <f aca="false">1000*1.15</f>
        <v>1150</v>
      </c>
      <c r="D32" s="25" t="n">
        <f aca="false">1000*1.15</f>
        <v>1150</v>
      </c>
      <c r="E32" s="25" t="n">
        <f aca="false">1000*1.15</f>
        <v>1150</v>
      </c>
      <c r="F32" s="25" t="n">
        <f aca="false">1000*1.15</f>
        <v>1150</v>
      </c>
      <c r="G32" s="25" t="n">
        <f aca="false">1000*1.15</f>
        <v>1150</v>
      </c>
      <c r="H32" s="25" t="n">
        <f aca="false">1000*1.15</f>
        <v>1150</v>
      </c>
      <c r="I32" s="25" t="n">
        <f aca="false">1000*1.15</f>
        <v>1150</v>
      </c>
      <c r="J32" s="25" t="n">
        <f aca="false">1000*1.15</f>
        <v>1150</v>
      </c>
      <c r="K32" s="25" t="n">
        <f aca="false">1000*1.15</f>
        <v>1150</v>
      </c>
      <c r="L32" s="25" t="n">
        <f aca="false">1000*1.15</f>
        <v>1150</v>
      </c>
      <c r="M32" s="25" t="n">
        <f aca="false">1000*1.15</f>
        <v>1150</v>
      </c>
      <c r="N32" s="87" t="n">
        <f aca="false">SUM(B32:M32)</f>
        <v>13800</v>
      </c>
      <c r="P32" s="88"/>
    </row>
    <row r="33" customFormat="false" ht="14.25" hidden="false" customHeight="false" outlineLevel="0" collapsed="false">
      <c r="A33" s="17" t="s">
        <v>282</v>
      </c>
      <c r="B33" s="25" t="n">
        <v>1813.98</v>
      </c>
      <c r="C33" s="25" t="n">
        <v>1813.98</v>
      </c>
      <c r="D33" s="25" t="n">
        <v>1813.98</v>
      </c>
      <c r="E33" s="25" t="n">
        <v>1813.98</v>
      </c>
      <c r="F33" s="25" t="n">
        <v>1813.98</v>
      </c>
      <c r="G33" s="25" t="n">
        <v>1813.98</v>
      </c>
      <c r="H33" s="25" t="n">
        <v>1813.98</v>
      </c>
      <c r="I33" s="25" t="n">
        <v>1813.98</v>
      </c>
      <c r="J33" s="25" t="n">
        <v>1813.98</v>
      </c>
      <c r="K33" s="25" t="n">
        <v>1813.98</v>
      </c>
      <c r="L33" s="25" t="n">
        <v>1813.98</v>
      </c>
      <c r="M33" s="25" t="n">
        <v>1813.98</v>
      </c>
      <c r="N33" s="87" t="n">
        <f aca="false">SUM(B33:M33)</f>
        <v>21767.76</v>
      </c>
      <c r="P33" s="88" t="s">
        <v>277</v>
      </c>
    </row>
    <row r="34" customFormat="false" ht="14.25" hidden="false" customHeight="false" outlineLevel="0" collapsed="false">
      <c r="A34" s="17" t="s">
        <v>283</v>
      </c>
      <c r="B34" s="25" t="n">
        <v>420.88</v>
      </c>
      <c r="C34" s="25" t="n">
        <v>420.88</v>
      </c>
      <c r="D34" s="25" t="n">
        <v>420.88</v>
      </c>
      <c r="E34" s="25" t="n">
        <v>420.88</v>
      </c>
      <c r="F34" s="25" t="n">
        <v>420.88</v>
      </c>
      <c r="G34" s="25" t="n">
        <v>420.88</v>
      </c>
      <c r="H34" s="25" t="n">
        <v>420.88</v>
      </c>
      <c r="I34" s="25" t="n">
        <v>420.88</v>
      </c>
      <c r="J34" s="25" t="n">
        <v>420.88</v>
      </c>
      <c r="K34" s="25" t="n">
        <v>420.88</v>
      </c>
      <c r="L34" s="25" t="n">
        <v>420.88</v>
      </c>
      <c r="M34" s="25" t="n">
        <v>420.88</v>
      </c>
      <c r="N34" s="87" t="n">
        <f aca="false">SUM(B34:M34)</f>
        <v>5050.56</v>
      </c>
      <c r="P34" s="88" t="s">
        <v>277</v>
      </c>
    </row>
    <row r="35" customFormat="false" ht="14.25" hidden="false" customHeight="false" outlineLevel="0" collapsed="false">
      <c r="A35" s="17" t="s">
        <v>284</v>
      </c>
      <c r="B35" s="25" t="n">
        <v>2408.73</v>
      </c>
      <c r="C35" s="25" t="n">
        <v>2408.73</v>
      </c>
      <c r="D35" s="25" t="n">
        <v>2408.73</v>
      </c>
      <c r="E35" s="25" t="n">
        <v>2408.73</v>
      </c>
      <c r="F35" s="25" t="n">
        <v>2408.73</v>
      </c>
      <c r="G35" s="25" t="n">
        <v>2408.73</v>
      </c>
      <c r="H35" s="25" t="n">
        <v>2408.73</v>
      </c>
      <c r="I35" s="25" t="n">
        <v>2408.73</v>
      </c>
      <c r="J35" s="25" t="n">
        <v>2408.73</v>
      </c>
      <c r="K35" s="25" t="n">
        <v>2408.73</v>
      </c>
      <c r="L35" s="25" t="n">
        <v>2408.73</v>
      </c>
      <c r="M35" s="25" t="n">
        <v>2408.73</v>
      </c>
      <c r="N35" s="87" t="n">
        <f aca="false">SUM(B35:M35)</f>
        <v>28904.76</v>
      </c>
      <c r="P35" s="88" t="s">
        <v>277</v>
      </c>
    </row>
    <row r="36" customFormat="false" ht="14.25" hidden="false" customHeight="false" outlineLevel="0" collapsed="false">
      <c r="A36" s="17" t="s">
        <v>285</v>
      </c>
      <c r="B36" s="25" t="n">
        <v>224.18</v>
      </c>
      <c r="C36" s="25" t="n">
        <v>224.18</v>
      </c>
      <c r="D36" s="25" t="n">
        <v>224.18</v>
      </c>
      <c r="E36" s="25" t="n">
        <v>224.18</v>
      </c>
      <c r="F36" s="25" t="n">
        <v>224.18</v>
      </c>
      <c r="G36" s="25" t="n">
        <v>224.18</v>
      </c>
      <c r="H36" s="25" t="n">
        <v>224.18</v>
      </c>
      <c r="I36" s="25" t="n">
        <v>224.18</v>
      </c>
      <c r="J36" s="25" t="n">
        <v>224.18</v>
      </c>
      <c r="K36" s="25" t="n">
        <v>224.18</v>
      </c>
      <c r="L36" s="25" t="n">
        <v>224.18</v>
      </c>
      <c r="M36" s="25" t="n">
        <v>224.18</v>
      </c>
      <c r="N36" s="87" t="n">
        <f aca="false">SUM(B36:M36)</f>
        <v>2690.16</v>
      </c>
      <c r="P36" s="88" t="s">
        <v>277</v>
      </c>
    </row>
    <row r="37" customFormat="false" ht="14.25" hidden="false" customHeight="false" outlineLevel="0" collapsed="false">
      <c r="A37" s="17" t="s">
        <v>286</v>
      </c>
      <c r="B37" s="25" t="n">
        <v>11.22</v>
      </c>
      <c r="C37" s="25" t="n">
        <v>11.22</v>
      </c>
      <c r="D37" s="25" t="n">
        <v>11.22</v>
      </c>
      <c r="E37" s="25" t="n">
        <v>11.22</v>
      </c>
      <c r="F37" s="25" t="n">
        <v>11.22</v>
      </c>
      <c r="G37" s="25" t="n">
        <v>11.22</v>
      </c>
      <c r="H37" s="25" t="n">
        <v>11.22</v>
      </c>
      <c r="I37" s="25" t="n">
        <v>11.22</v>
      </c>
      <c r="J37" s="25" t="n">
        <v>11.22</v>
      </c>
      <c r="K37" s="25" t="n">
        <v>11.22</v>
      </c>
      <c r="L37" s="25" t="n">
        <v>11.22</v>
      </c>
      <c r="M37" s="25" t="n">
        <v>11.22</v>
      </c>
      <c r="N37" s="87" t="n">
        <f aca="false">SUM(B37:M37)</f>
        <v>134.64</v>
      </c>
      <c r="P37" s="88" t="s">
        <v>277</v>
      </c>
    </row>
    <row r="38" customFormat="false" ht="14.25" hidden="false" customHeight="false" outlineLevel="0" collapsed="false">
      <c r="A38" s="17" t="s">
        <v>287</v>
      </c>
      <c r="B38" s="25" t="n">
        <v>1200</v>
      </c>
      <c r="C38" s="25" t="n">
        <v>1200</v>
      </c>
      <c r="D38" s="25" t="n">
        <v>1200</v>
      </c>
      <c r="E38" s="25" t="n">
        <v>1200</v>
      </c>
      <c r="F38" s="25" t="n">
        <v>1200</v>
      </c>
      <c r="G38" s="25" t="n">
        <v>1200</v>
      </c>
      <c r="H38" s="25" t="n">
        <v>1200</v>
      </c>
      <c r="I38" s="25" t="n">
        <v>1200</v>
      </c>
      <c r="J38" s="25" t="n">
        <v>1200</v>
      </c>
      <c r="K38" s="25" t="n">
        <v>1200</v>
      </c>
      <c r="L38" s="25" t="n">
        <v>1200</v>
      </c>
      <c r="M38" s="25" t="n">
        <v>1200</v>
      </c>
      <c r="N38" s="87" t="n">
        <f aca="false">SUM(B38:M38)</f>
        <v>14400</v>
      </c>
      <c r="P38" s="88" t="s">
        <v>277</v>
      </c>
    </row>
    <row r="39" customFormat="false" ht="14.25" hidden="false" customHeight="false" outlineLevel="0" collapsed="false">
      <c r="A39" s="17" t="s">
        <v>288</v>
      </c>
      <c r="B39" s="25" t="n">
        <v>34.56</v>
      </c>
      <c r="C39" s="25" t="n">
        <v>34.56</v>
      </c>
      <c r="D39" s="25" t="n">
        <v>34.56</v>
      </c>
      <c r="E39" s="25" t="n">
        <v>34.56</v>
      </c>
      <c r="F39" s="25" t="n">
        <v>34.56</v>
      </c>
      <c r="G39" s="25" t="n">
        <v>34.56</v>
      </c>
      <c r="H39" s="25" t="n">
        <v>34.56</v>
      </c>
      <c r="I39" s="25" t="n">
        <v>34.56</v>
      </c>
      <c r="J39" s="25" t="n">
        <v>34.56</v>
      </c>
      <c r="K39" s="25" t="n">
        <v>34.56</v>
      </c>
      <c r="L39" s="25" t="n">
        <v>34.56</v>
      </c>
      <c r="M39" s="25" t="n">
        <v>34.56</v>
      </c>
      <c r="N39" s="87" t="n">
        <f aca="false">SUM(B39:M39)</f>
        <v>414.72</v>
      </c>
      <c r="P39" s="88" t="s">
        <v>277</v>
      </c>
    </row>
    <row r="40" customFormat="false" ht="14.25" hidden="false" customHeight="false" outlineLevel="0" collapsed="false">
      <c r="A40" s="90" t="s">
        <v>289</v>
      </c>
      <c r="B40" s="91" t="n">
        <f aca="false">B24+B25+B26+B27+B28+B29+B30+B31+B32+B33+B34+B35+B36+B37+B38+B39</f>
        <v>23117.9554166667</v>
      </c>
      <c r="C40" s="91" t="n">
        <f aca="false">C24+C25+C26+C27+C28+C29+C30+C31+C32+C33+C34+C35+C36+C37+C38+C39</f>
        <v>23117.9554166667</v>
      </c>
      <c r="D40" s="91" t="n">
        <f aca="false">D24+D25+D26+D27+D28+D29+D30+D31+D32+D33+D34+D35+D36+D37+D38+D39</f>
        <v>23117.9554166667</v>
      </c>
      <c r="E40" s="91" t="n">
        <f aca="false">E24+E25+E26+E27+E28+E29+E30+E31+E32+E33+E34+E35+E36+E37+E38+E39</f>
        <v>23117.9554166667</v>
      </c>
      <c r="F40" s="91" t="n">
        <f aca="false">F24+F25+F26+F27+F28+F29+F30+F31+F32+F33+F34+F35+F36+F37+F38+F39</f>
        <v>23117.9554166667</v>
      </c>
      <c r="G40" s="91" t="n">
        <f aca="false">G24+G25+G26+G27+G28+G29+G30+G31+G32+G33+G34+G35+G36+G37+G38+G39</f>
        <v>23117.9554166667</v>
      </c>
      <c r="H40" s="91" t="n">
        <f aca="false">H24+H25+H26+H27+H28+H29+H30+H31+H32+H33+H34+H35+H36+H37+H38+H39</f>
        <v>23117.9554166667</v>
      </c>
      <c r="I40" s="91" t="n">
        <f aca="false">I24+I25+I26+I27+I28+I29+I30+I31+I32+I33+I34+I35+I36+I37+I38+I39</f>
        <v>23117.9554166667</v>
      </c>
      <c r="J40" s="91" t="n">
        <f aca="false">J24+J25+J26+J27+J28+J29+J30+J31+J32+J33+J34+J35+J36+J37+J38+J39</f>
        <v>23117.9554166667</v>
      </c>
      <c r="K40" s="91" t="n">
        <f aca="false">K24+K25+K26+K27+K28+K29+K30+K31+K32+K33+K34+K35+K36+K37+K38+K39</f>
        <v>23117.9554166667</v>
      </c>
      <c r="L40" s="91" t="n">
        <f aca="false">L24+L25+L26+L27+L28+L29+L30+L31+L32+L33+L34+L35+L36+L37+L38+L39</f>
        <v>23117.9554166667</v>
      </c>
      <c r="M40" s="91" t="n">
        <f aca="false">M24+M25+M26+M27+M28+M29+M30+M31+M32+M33+M34+M35+M36+M37+M38+M39</f>
        <v>23117.9554166667</v>
      </c>
      <c r="N40" s="91" t="n">
        <f aca="false">N24+N25+N26+N27+N28+N29+N30+N31+N32+N33+N34+N35+N36+N37+N38+N39</f>
        <v>277415.465</v>
      </c>
    </row>
    <row r="41" customFormat="false" ht="14.25" hidden="false" customHeight="false" outlineLevel="0" collapsed="false">
      <c r="A41" s="97" t="s">
        <v>290</v>
      </c>
      <c r="B41" s="46" t="n">
        <f aca="false">B22-B40</f>
        <v>33702.1925793651</v>
      </c>
      <c r="C41" s="46" t="n">
        <f aca="false">C22-C40</f>
        <v>29339.954484127</v>
      </c>
      <c r="D41" s="46" t="n">
        <f aca="false">D22-D40</f>
        <v>33475.0989246032</v>
      </c>
      <c r="E41" s="46" t="n">
        <f aca="false">E22-E40</f>
        <v>39584.4306746032</v>
      </c>
      <c r="F41" s="46" t="n">
        <f aca="false">F22-F40</f>
        <v>28579.954484127</v>
      </c>
      <c r="G41" s="46" t="n">
        <f aca="false">G22-G40</f>
        <v>33475.0989246032</v>
      </c>
      <c r="H41" s="46" t="n">
        <f aca="false">H22-H40</f>
        <v>38824.4306746032</v>
      </c>
      <c r="I41" s="46" t="n">
        <f aca="false">I22-I40</f>
        <v>34462.1925793651</v>
      </c>
      <c r="J41" s="46" t="n">
        <f aca="false">J22-J40</f>
        <v>27592.8608293651</v>
      </c>
      <c r="K41" s="46" t="n">
        <f aca="false">K22-K40</f>
        <v>39584.4306746032</v>
      </c>
      <c r="L41" s="46" t="n">
        <f aca="false">L22-L40</f>
        <v>28579.954484127</v>
      </c>
      <c r="M41" s="46" t="n">
        <f aca="false">M22-M40</f>
        <v>26832.8608293651</v>
      </c>
      <c r="N41" s="46" t="n">
        <f aca="false">N22-N40</f>
        <v>394033.460142857</v>
      </c>
    </row>
    <row r="42" customFormat="false" ht="14.25" hidden="false" customHeight="false" outlineLevel="0" collapsed="false">
      <c r="A42" s="97" t="s">
        <v>291</v>
      </c>
      <c r="B42" s="98" t="n">
        <f aca="false">B41</f>
        <v>33702.1925793651</v>
      </c>
      <c r="C42" s="98" t="n">
        <f aca="false">C41</f>
        <v>29339.954484127</v>
      </c>
      <c r="D42" s="98" t="n">
        <f aca="false">D41</f>
        <v>33475.0989246032</v>
      </c>
      <c r="E42" s="98" t="n">
        <f aca="false">E41</f>
        <v>39584.4306746032</v>
      </c>
      <c r="F42" s="98" t="n">
        <f aca="false">F41</f>
        <v>28579.954484127</v>
      </c>
      <c r="G42" s="98" t="n">
        <f aca="false">G41</f>
        <v>33475.0989246032</v>
      </c>
      <c r="H42" s="98" t="n">
        <f aca="false">H41</f>
        <v>38824.4306746032</v>
      </c>
      <c r="I42" s="98" t="n">
        <f aca="false">I41</f>
        <v>34462.1925793651</v>
      </c>
      <c r="J42" s="98" t="n">
        <f aca="false">J41</f>
        <v>27592.8608293651</v>
      </c>
      <c r="K42" s="98" t="n">
        <f aca="false">K41</f>
        <v>39584.4306746032</v>
      </c>
      <c r="L42" s="98" t="n">
        <f aca="false">L41</f>
        <v>28579.954484127</v>
      </c>
      <c r="M42" s="98" t="n">
        <f aca="false">M41</f>
        <v>26832.8608293651</v>
      </c>
      <c r="N42" s="98" t="n">
        <f aca="false">N41</f>
        <v>394033.460142857</v>
      </c>
    </row>
    <row r="45" customFormat="false" ht="14.25" hidden="false" customHeight="false" outlineLevel="0" collapsed="false">
      <c r="A45" s="15" t="s">
        <v>292</v>
      </c>
      <c r="B45" s="16"/>
      <c r="C45" s="16"/>
      <c r="D45" s="16"/>
      <c r="E45" s="16"/>
    </row>
    <row r="46" customFormat="false" ht="14.25" hidden="false" customHeight="false" outlineLevel="0" collapsed="false">
      <c r="A46" s="6" t="s">
        <v>127</v>
      </c>
      <c r="B46" s="99" t="s">
        <v>293</v>
      </c>
      <c r="C46" s="99" t="s">
        <v>294</v>
      </c>
      <c r="D46" s="99" t="s">
        <v>295</v>
      </c>
      <c r="E46" s="99" t="s">
        <v>296</v>
      </c>
    </row>
    <row r="47" customFormat="false" ht="14.25" hidden="false" customHeight="false" outlineLevel="0" collapsed="false">
      <c r="A47" s="100" t="str">
        <f aca="false">'Staff P&amp;L'!$A$6</f>
        <v>Steven Nikolov</v>
      </c>
      <c r="B47" s="34" t="n">
        <f aca="false">'Staff P&amp;L'!$M$6</f>
        <v>208367.45</v>
      </c>
      <c r="C47" s="34" t="n">
        <f aca="false">'Staff P&amp;L'!$N$6</f>
        <v>17363.9541666667</v>
      </c>
      <c r="D47" s="40" t="n">
        <f aca="false">'Staff P&amp;L'!$O$6</f>
        <v>99.7928400383142</v>
      </c>
      <c r="E47" s="40" t="n">
        <f aca="false">'Staff P&amp;L'!$R$6</f>
        <v>250</v>
      </c>
    </row>
    <row r="48" customFormat="false" ht="14.25" hidden="false" customHeight="false" outlineLevel="0" collapsed="false">
      <c r="A48" s="100" t="str">
        <f aca="false">'Staff P&amp;L'!$A$7</f>
        <v>Lisa Danforth</v>
      </c>
      <c r="B48" s="34" t="n">
        <f aca="false">'Staff P&amp;L'!$M$7</f>
        <v>208671.8</v>
      </c>
      <c r="C48" s="34" t="n">
        <f aca="false">'Staff P&amp;L'!$N$7</f>
        <v>17389.3166666667</v>
      </c>
      <c r="D48" s="40" t="n">
        <f aca="false">'Staff P&amp;L'!$O$7</f>
        <v>99.9386015325671</v>
      </c>
      <c r="E48" s="40" t="n">
        <f aca="false">'Staff P&amp;L'!$R$7</f>
        <v>250</v>
      </c>
    </row>
    <row r="49" customFormat="false" ht="14.25" hidden="false" customHeight="false" outlineLevel="0" collapsed="false">
      <c r="A49" s="100" t="str">
        <f aca="false">'Staff P&amp;L'!$A$8</f>
        <v>Cindi Campbell</v>
      </c>
      <c r="B49" s="34" t="n">
        <f aca="false">'Staff P&amp;L'!$M$8</f>
        <v>151360.316</v>
      </c>
      <c r="C49" s="34" t="n">
        <f aca="false">'Staff P&amp;L'!$N$8</f>
        <v>12613.3596666667</v>
      </c>
      <c r="D49" s="40" t="n">
        <f aca="false">'Staff P&amp;L'!$O$8</f>
        <v>72.4905727969349</v>
      </c>
      <c r="E49" s="40" t="n">
        <f aca="false">'Staff P&amp;L'!$R$8</f>
        <v>153.214285714286</v>
      </c>
    </row>
    <row r="50" customFormat="false" ht="14.25" hidden="false" customHeight="false" outlineLevel="0" collapsed="false">
      <c r="A50" s="100" t="str">
        <f aca="false">'Staff P&amp;L'!$A$9</f>
        <v>Christine Johnson</v>
      </c>
      <c r="B50" s="34" t="n">
        <f aca="false">'Staff P&amp;L'!$M$9</f>
        <v>92357.351</v>
      </c>
      <c r="C50" s="34" t="n">
        <f aca="false">'Staff P&amp;L'!$N$9</f>
        <v>7696.44591666667</v>
      </c>
      <c r="D50" s="40" t="n">
        <f aca="false">'Staff P&amp;L'!$O$9</f>
        <v>44.2324477969349</v>
      </c>
      <c r="E50" s="40" t="n">
        <f aca="false">'Staff P&amp;L'!$R$9</f>
        <v>96.3095238095238</v>
      </c>
    </row>
    <row r="51" customFormat="false" ht="14.25" hidden="false" customHeight="false" outlineLevel="0" collapsed="false">
      <c r="A51" s="100" t="str">
        <f aca="false">'Staff P&amp;L'!$A$10</f>
        <v>Valentina Dikova</v>
      </c>
      <c r="B51" s="34" t="n">
        <f aca="false">'Staff P&amp;L'!$M$10</f>
        <v>52920</v>
      </c>
      <c r="C51" s="34" t="n">
        <f aca="false">'Staff P&amp;L'!$N$10</f>
        <v>4410</v>
      </c>
      <c r="D51" s="40" t="n">
        <f aca="false">'Staff P&amp;L'!$O$10</f>
        <v>25.3448275862069</v>
      </c>
      <c r="E51" s="40" t="n">
        <f aca="false">'Staff P&amp;L'!$R$10</f>
        <v>96.3095238095238</v>
      </c>
    </row>
    <row r="52" customFormat="false" ht="14.25" hidden="false" customHeight="false" outlineLevel="0" collapsed="false">
      <c r="A52" s="100" t="str">
        <f aca="false">'Staff P&amp;L'!$A$11</f>
        <v>Josephine Mack</v>
      </c>
      <c r="B52" s="34" t="n">
        <f aca="false">'Staff P&amp;L'!$M$11</f>
        <v>100179.2</v>
      </c>
      <c r="C52" s="34" t="n">
        <f aca="false">'Staff P&amp;L'!$N$11</f>
        <v>8348.26666666667</v>
      </c>
      <c r="D52" s="40" t="n">
        <f aca="false">'Staff P&amp;L'!$O$11</f>
        <v>47.9785440613027</v>
      </c>
      <c r="E52" s="40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66" t="s">
        <v>0</v>
      </c>
    </row>
    <row r="2" customFormat="false" ht="15" hidden="false" customHeight="false" outlineLevel="0" collapsed="false">
      <c r="A2" s="67" t="s">
        <v>297</v>
      </c>
    </row>
    <row r="3" customFormat="false" ht="15" hidden="false" customHeight="false" outlineLevel="0" collapsed="false">
      <c r="A3" s="19" t="s">
        <v>298</v>
      </c>
    </row>
    <row r="5" customFormat="false" ht="15" hidden="false" customHeight="false" outlineLevel="0" collapsed="false">
      <c r="A5" s="52" t="s">
        <v>299</v>
      </c>
      <c r="B5" s="101" t="n">
        <f aca="false">Assumptions!$B$15</f>
        <v>1</v>
      </c>
      <c r="C5" s="102" t="n">
        <f aca="false">IF(SUM('Budget P&amp;L'!$B$9:$H$9)=0,0,SUM(B11:H11)/(SUM('Budget P&amp;L'!$B$9:$H$9)/Assumptions!$B$15))</f>
        <v>0.905110427708201</v>
      </c>
      <c r="D5" s="19" t="s">
        <v>300</v>
      </c>
    </row>
    <row r="7" customFormat="false" ht="15" hidden="false" customHeight="false" outlineLevel="0" collapsed="false">
      <c r="A7" s="51"/>
      <c r="B7" s="68" t="s">
        <v>186</v>
      </c>
      <c r="C7" s="68" t="s">
        <v>187</v>
      </c>
      <c r="D7" s="68" t="s">
        <v>188</v>
      </c>
      <c r="E7" s="68" t="s">
        <v>189</v>
      </c>
      <c r="F7" s="68" t="s">
        <v>190</v>
      </c>
      <c r="G7" s="68" t="s">
        <v>191</v>
      </c>
      <c r="H7" s="68" t="s">
        <v>192</v>
      </c>
      <c r="I7" s="68" t="s">
        <v>193</v>
      </c>
      <c r="J7" s="68" t="s">
        <v>194</v>
      </c>
      <c r="K7" s="68" t="s">
        <v>195</v>
      </c>
      <c r="L7" s="68" t="s">
        <v>196</v>
      </c>
      <c r="M7" s="68" t="s">
        <v>197</v>
      </c>
      <c r="N7" s="68" t="s">
        <v>301</v>
      </c>
    </row>
    <row r="8" customFormat="false" ht="15" hidden="false" customHeight="false" outlineLevel="0" collapsed="false">
      <c r="A8" s="103"/>
      <c r="B8" s="104" t="s">
        <v>302</v>
      </c>
      <c r="C8" s="104" t="s">
        <v>302</v>
      </c>
      <c r="D8" s="104" t="s">
        <v>302</v>
      </c>
      <c r="E8" s="104" t="s">
        <v>302</v>
      </c>
      <c r="F8" s="104" t="s">
        <v>302</v>
      </c>
      <c r="G8" s="104" t="s">
        <v>302</v>
      </c>
      <c r="H8" s="104" t="s">
        <v>302</v>
      </c>
      <c r="I8" s="105" t="s">
        <v>303</v>
      </c>
      <c r="J8" s="105" t="s">
        <v>303</v>
      </c>
      <c r="K8" s="105" t="s">
        <v>303</v>
      </c>
      <c r="L8" s="105" t="s">
        <v>303</v>
      </c>
      <c r="M8" s="105" t="s">
        <v>303</v>
      </c>
      <c r="N8" s="103"/>
    </row>
    <row r="9" customFormat="false" ht="15" hidden="false" customHeight="false" outlineLevel="0" collapsed="false">
      <c r="A9" s="69" t="s">
        <v>304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 customFormat="false" ht="15" hidden="false" customHeight="false" outlineLevel="0" collapsed="false">
      <c r="A10" s="49" t="s">
        <v>245</v>
      </c>
      <c r="B10" s="106" t="n">
        <v>0</v>
      </c>
      <c r="C10" s="106" t="n">
        <v>46.75</v>
      </c>
      <c r="D10" s="106" t="n">
        <v>21</v>
      </c>
      <c r="E10" s="106" t="n">
        <v>0</v>
      </c>
      <c r="F10" s="106" t="n">
        <v>2294</v>
      </c>
      <c r="G10" s="106" t="n">
        <v>-418</v>
      </c>
      <c r="H10" s="106" t="n">
        <v>-152.69</v>
      </c>
      <c r="I10" s="107" t="n">
        <f aca="false">'Budget P&amp;L'!I8</f>
        <v>0</v>
      </c>
      <c r="J10" s="107" t="n">
        <f aca="false">'Budget P&amp;L'!J8</f>
        <v>0</v>
      </c>
      <c r="K10" s="107" t="n">
        <f aca="false">'Budget P&amp;L'!K8</f>
        <v>0</v>
      </c>
      <c r="L10" s="107" t="n">
        <f aca="false">'Budget P&amp;L'!L8</f>
        <v>0</v>
      </c>
      <c r="M10" s="107" t="n">
        <f aca="false">'Budget P&amp;L'!M8</f>
        <v>0</v>
      </c>
      <c r="N10" s="62" t="n">
        <f aca="false">SUM(B10:M10)</f>
        <v>1791.06</v>
      </c>
    </row>
    <row r="11" customFormat="false" ht="15" hidden="false" customHeight="false" outlineLevel="0" collapsed="false">
      <c r="A11" s="49" t="s">
        <v>247</v>
      </c>
      <c r="B11" s="106" t="n">
        <v>64981.75</v>
      </c>
      <c r="C11" s="106" t="n">
        <v>55772</v>
      </c>
      <c r="D11" s="106" t="n">
        <v>103377.75</v>
      </c>
      <c r="E11" s="106" t="n">
        <v>88464.25</v>
      </c>
      <c r="F11" s="106" t="n">
        <v>97011.45</v>
      </c>
      <c r="G11" s="106" t="n">
        <v>104042</v>
      </c>
      <c r="H11" s="106" t="n">
        <v>177147.55</v>
      </c>
      <c r="I11" s="107" t="n">
        <f aca="false">'Budget P&amp;L'!I9</f>
        <v>107350.531746032</v>
      </c>
      <c r="J11" s="107" t="n">
        <f aca="false">'Budget P&amp;L'!J9</f>
        <v>107350.531746032</v>
      </c>
      <c r="K11" s="107" t="n">
        <f aca="false">'Budget P&amp;L'!K9</f>
        <v>113232.76984127</v>
      </c>
      <c r="L11" s="107" t="n">
        <f aca="false">'Budget P&amp;L'!L9</f>
        <v>101468.293650794</v>
      </c>
      <c r="M11" s="107" t="n">
        <f aca="false">'Budget P&amp;L'!M9</f>
        <v>107350.531746032</v>
      </c>
      <c r="N11" s="62" t="n">
        <f aca="false">SUM(B11:M11)</f>
        <v>1227549.40873016</v>
      </c>
    </row>
    <row r="12" customFormat="false" ht="15" hidden="false" customHeight="false" outlineLevel="0" collapsed="false">
      <c r="A12" s="49" t="s">
        <v>305</v>
      </c>
      <c r="B12" s="106" t="n">
        <v>-154.75</v>
      </c>
      <c r="C12" s="106" t="n">
        <v>0</v>
      </c>
      <c r="D12" s="106" t="n">
        <v>0</v>
      </c>
      <c r="E12" s="106" t="n">
        <v>1000</v>
      </c>
      <c r="F12" s="106" t="n">
        <v>875</v>
      </c>
      <c r="G12" s="106" t="n">
        <v>-1500</v>
      </c>
      <c r="H12" s="106" t="n">
        <v>-375</v>
      </c>
      <c r="I12" s="57" t="n">
        <v>0</v>
      </c>
      <c r="J12" s="57" t="n">
        <v>0</v>
      </c>
      <c r="K12" s="57" t="n">
        <v>0</v>
      </c>
      <c r="L12" s="57" t="n">
        <v>0</v>
      </c>
      <c r="M12" s="57" t="n">
        <v>0</v>
      </c>
      <c r="N12" s="62" t="n">
        <f aca="false">SUM(B12:M12)</f>
        <v>-154.75</v>
      </c>
    </row>
    <row r="13" customFormat="false" ht="15" hidden="false" customHeight="false" outlineLevel="0" collapsed="false">
      <c r="A13" s="61" t="s">
        <v>306</v>
      </c>
      <c r="B13" s="62" t="n">
        <f aca="false">SUM(B10:B12)</f>
        <v>64827</v>
      </c>
      <c r="C13" s="62" t="n">
        <f aca="false">SUM(C10:C12)</f>
        <v>55818.75</v>
      </c>
      <c r="D13" s="62" t="n">
        <f aca="false">SUM(D10:D12)</f>
        <v>103398.75</v>
      </c>
      <c r="E13" s="62" t="n">
        <f aca="false">SUM(E10:E12)</f>
        <v>89464.25</v>
      </c>
      <c r="F13" s="62" t="n">
        <f aca="false">SUM(F10:F12)</f>
        <v>100180.45</v>
      </c>
      <c r="G13" s="62" t="n">
        <f aca="false">SUM(G10:G12)</f>
        <v>102124</v>
      </c>
      <c r="H13" s="62" t="n">
        <f aca="false">SUM(H10:H12)</f>
        <v>176619.86</v>
      </c>
      <c r="I13" s="62" t="n">
        <f aca="false">SUM(I10:I12)</f>
        <v>107350.531746032</v>
      </c>
      <c r="J13" s="62" t="n">
        <f aca="false">SUM(J10:J12)</f>
        <v>107350.531746032</v>
      </c>
      <c r="K13" s="62" t="n">
        <f aca="false">SUM(K10:K12)</f>
        <v>113232.76984127</v>
      </c>
      <c r="L13" s="62" t="n">
        <f aca="false">SUM(L10:L12)</f>
        <v>101468.293650794</v>
      </c>
      <c r="M13" s="62" t="n">
        <f aca="false">SUM(M10:M12)</f>
        <v>107350.531746032</v>
      </c>
      <c r="N13" s="62" t="n">
        <f aca="false">SUM(N10:N12)</f>
        <v>1229185.71873016</v>
      </c>
    </row>
    <row r="14" customFormat="false" ht="15" hidden="false" customHeight="false" outlineLevel="0" collapsed="false">
      <c r="A14" s="69" t="s">
        <v>307</v>
      </c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 customFormat="false" ht="15" hidden="false" customHeight="false" outlineLevel="0" collapsed="false">
      <c r="A15" s="49" t="s">
        <v>251</v>
      </c>
      <c r="B15" s="106" t="n">
        <v>1498.5</v>
      </c>
      <c r="C15" s="106" t="n">
        <v>430</v>
      </c>
      <c r="D15" s="106" t="n">
        <v>355.5</v>
      </c>
      <c r="E15" s="106" t="n">
        <v>1089.5</v>
      </c>
      <c r="F15" s="106" t="n">
        <v>0</v>
      </c>
      <c r="G15" s="106" t="n">
        <v>0</v>
      </c>
      <c r="H15" s="106" t="n">
        <v>0</v>
      </c>
      <c r="I15" s="107" t="n">
        <f aca="false">'Budget P&amp;L'!I12</f>
        <v>4410</v>
      </c>
      <c r="J15" s="107" t="n">
        <f aca="false">'Budget P&amp;L'!J12</f>
        <v>4410</v>
      </c>
      <c r="K15" s="107" t="n">
        <f aca="false">'Budget P&amp;L'!K12</f>
        <v>4410</v>
      </c>
      <c r="L15" s="107" t="n">
        <f aca="false">'Budget P&amp;L'!L12</f>
        <v>4410</v>
      </c>
      <c r="M15" s="107" t="n">
        <f aca="false">'Budget P&amp;L'!M12</f>
        <v>4410</v>
      </c>
      <c r="N15" s="62" t="n">
        <f aca="false">SUM(B15:M15)</f>
        <v>25423.5</v>
      </c>
    </row>
    <row r="16" customFormat="false" ht="15" hidden="false" customHeight="false" outlineLevel="0" collapsed="false">
      <c r="A16" s="49" t="s">
        <v>253</v>
      </c>
      <c r="B16" s="106" t="n">
        <v>94.5</v>
      </c>
      <c r="C16" s="106" t="n">
        <v>0</v>
      </c>
      <c r="D16" s="106" t="n">
        <v>13.2</v>
      </c>
      <c r="E16" s="106" t="n">
        <v>63.2</v>
      </c>
      <c r="F16" s="106" t="n">
        <v>0</v>
      </c>
      <c r="G16" s="106" t="n">
        <v>0</v>
      </c>
      <c r="H16" s="106" t="n">
        <v>0</v>
      </c>
      <c r="I16" s="107" t="n">
        <f aca="false">'Budget P&amp;L'!I13</f>
        <v>28.48</v>
      </c>
      <c r="J16" s="107" t="n">
        <f aca="false">'Budget P&amp;L'!J13</f>
        <v>28.48</v>
      </c>
      <c r="K16" s="107" t="n">
        <f aca="false">'Budget P&amp;L'!K13</f>
        <v>28.48</v>
      </c>
      <c r="L16" s="107" t="n">
        <f aca="false">'Budget P&amp;L'!L13</f>
        <v>28.48</v>
      </c>
      <c r="M16" s="107" t="n">
        <f aca="false">'Budget P&amp;L'!M13</f>
        <v>28.48</v>
      </c>
      <c r="N16" s="62" t="n">
        <f aca="false">SUM(B16:M16)</f>
        <v>313.3</v>
      </c>
    </row>
    <row r="17" customFormat="false" ht="15" hidden="false" customHeight="false" outlineLevel="0" collapsed="false">
      <c r="A17" s="49" t="s">
        <v>308</v>
      </c>
      <c r="B17" s="106" t="n">
        <v>0</v>
      </c>
      <c r="C17" s="106" t="n">
        <v>435</v>
      </c>
      <c r="D17" s="106" t="n">
        <v>435</v>
      </c>
      <c r="E17" s="106" t="n">
        <v>435</v>
      </c>
      <c r="F17" s="106" t="n">
        <v>870</v>
      </c>
      <c r="G17" s="106" t="n">
        <v>435</v>
      </c>
      <c r="H17" s="106" t="n">
        <v>0</v>
      </c>
      <c r="I17" s="107" t="n">
        <f aca="false">'Budget P&amp;L'!I15</f>
        <v>0</v>
      </c>
      <c r="J17" s="107" t="n">
        <f aca="false">'Budget P&amp;L'!J15</f>
        <v>5679.5</v>
      </c>
      <c r="K17" s="107" t="n">
        <f aca="false">'Budget P&amp;L'!K15</f>
        <v>0</v>
      </c>
      <c r="L17" s="107" t="n">
        <f aca="false">'Budget P&amp;L'!L15</f>
        <v>0</v>
      </c>
      <c r="M17" s="107" t="n">
        <f aca="false">'Budget P&amp;L'!M15</f>
        <v>5679.5</v>
      </c>
      <c r="N17" s="62" t="n">
        <f aca="false">SUM(B17:M17)</f>
        <v>13969</v>
      </c>
    </row>
    <row r="18" customFormat="false" ht="15" hidden="false" customHeight="false" outlineLevel="0" collapsed="false">
      <c r="A18" s="49" t="s">
        <v>309</v>
      </c>
      <c r="B18" s="106" t="n">
        <v>4320</v>
      </c>
      <c r="C18" s="106" t="n">
        <v>0</v>
      </c>
      <c r="D18" s="106" t="n">
        <v>0</v>
      </c>
      <c r="E18" s="106" t="n">
        <v>0</v>
      </c>
      <c r="F18" s="106" t="n">
        <v>280</v>
      </c>
      <c r="G18" s="106" t="n">
        <v>760</v>
      </c>
      <c r="H18" s="106" t="n">
        <v>760</v>
      </c>
      <c r="I18" s="107" t="n">
        <f aca="false">'Budget P&amp;L'!I16</f>
        <v>0</v>
      </c>
      <c r="J18" s="107" t="n">
        <f aca="false">'Budget P&amp;L'!J16</f>
        <v>0</v>
      </c>
      <c r="K18" s="107" t="n">
        <f aca="false">'Budget P&amp;L'!K16</f>
        <v>0</v>
      </c>
      <c r="L18" s="107" t="n">
        <f aca="false">'Budget P&amp;L'!L16</f>
        <v>0</v>
      </c>
      <c r="M18" s="107" t="n">
        <f aca="false">'Budget P&amp;L'!M16</f>
        <v>0</v>
      </c>
      <c r="N18" s="62" t="n">
        <f aca="false">SUM(B18:M18)</f>
        <v>6120</v>
      </c>
    </row>
    <row r="19" customFormat="false" ht="15" hidden="false" customHeight="false" outlineLevel="0" collapsed="false">
      <c r="A19" s="49" t="s">
        <v>310</v>
      </c>
      <c r="B19" s="106" t="n">
        <v>18160.3</v>
      </c>
      <c r="C19" s="106" t="n">
        <v>33566.6</v>
      </c>
      <c r="D19" s="106" t="n">
        <v>37053.6</v>
      </c>
      <c r="E19" s="106" t="n">
        <v>33728.59</v>
      </c>
      <c r="F19" s="106" t="n">
        <v>46769.76</v>
      </c>
      <c r="G19" s="106" t="n">
        <v>64034.11</v>
      </c>
      <c r="H19" s="106" t="n">
        <v>91281.34</v>
      </c>
      <c r="I19" s="107" t="n">
        <f aca="false">'Budget P&amp;L'!I17</f>
        <v>39314.1666666667</v>
      </c>
      <c r="J19" s="107" t="n">
        <f aca="false">'Budget P&amp;L'!J17</f>
        <v>40074.1666666667</v>
      </c>
      <c r="K19" s="107" t="n">
        <f aca="false">'Budget P&amp;L'!K17</f>
        <v>40074.1666666667</v>
      </c>
      <c r="L19" s="107" t="n">
        <f aca="false">'Budget P&amp;L'!L17</f>
        <v>39314.1666666667</v>
      </c>
      <c r="M19" s="107" t="n">
        <f aca="false">'Budget P&amp;L'!M17</f>
        <v>40834.1666666667</v>
      </c>
      <c r="N19" s="62" t="n">
        <f aca="false">SUM(B19:M19)</f>
        <v>524205.133333333</v>
      </c>
    </row>
    <row r="20" customFormat="false" ht="15" hidden="false" customHeight="false" outlineLevel="0" collapsed="false">
      <c r="A20" s="49" t="s">
        <v>311</v>
      </c>
      <c r="B20" s="106" t="n">
        <v>2271.72</v>
      </c>
      <c r="C20" s="106" t="n">
        <v>2808.37</v>
      </c>
      <c r="D20" s="106" t="n">
        <v>2893.57</v>
      </c>
      <c r="E20" s="106" t="n">
        <v>2750.47</v>
      </c>
      <c r="F20" s="106" t="n">
        <v>3979.19</v>
      </c>
      <c r="G20" s="106" t="n">
        <v>5164.66</v>
      </c>
      <c r="H20" s="106" t="n">
        <v>7041.14</v>
      </c>
      <c r="I20" s="107" t="n">
        <f aca="false">'Budget P&amp;L'!I18</f>
        <v>3097.73708333333</v>
      </c>
      <c r="J20" s="107" t="n">
        <f aca="false">'Budget P&amp;L'!J18</f>
        <v>3527.56883333333</v>
      </c>
      <c r="K20" s="107" t="n">
        <f aca="false">'Budget P&amp;L'!K18</f>
        <v>3097.73708333333</v>
      </c>
      <c r="L20" s="107" t="n">
        <f aca="false">'Budget P&amp;L'!L18</f>
        <v>3097.73708333333</v>
      </c>
      <c r="M20" s="107" t="n">
        <f aca="false">'Budget P&amp;L'!M18</f>
        <v>3527.56883333333</v>
      </c>
      <c r="N20" s="62" t="n">
        <f aca="false">SUM(B20:M20)</f>
        <v>43257.4689166667</v>
      </c>
    </row>
    <row r="21" customFormat="false" ht="15" hidden="false" customHeight="false" outlineLevel="0" collapsed="false">
      <c r="A21" s="49" t="s">
        <v>312</v>
      </c>
      <c r="B21" s="106" t="n">
        <v>0</v>
      </c>
      <c r="C21" s="106" t="n">
        <v>0</v>
      </c>
      <c r="D21" s="106" t="n">
        <v>0</v>
      </c>
      <c r="E21" s="106" t="n">
        <v>0</v>
      </c>
      <c r="F21" s="106" t="n">
        <v>0</v>
      </c>
      <c r="G21" s="106" t="n">
        <v>0</v>
      </c>
      <c r="H21" s="106" t="n">
        <v>0</v>
      </c>
      <c r="I21" s="107" t="n">
        <f aca="false">'Budget P&amp;L'!I19</f>
        <v>2920</v>
      </c>
      <c r="J21" s="107" t="n">
        <f aca="false">'Budget P&amp;L'!J19</f>
        <v>2920</v>
      </c>
      <c r="K21" s="107" t="n">
        <f aca="false">'Budget P&amp;L'!K19</f>
        <v>2920</v>
      </c>
      <c r="L21" s="107" t="n">
        <f aca="false">'Budget P&amp;L'!L19</f>
        <v>2920</v>
      </c>
      <c r="M21" s="107" t="n">
        <f aca="false">'Budget P&amp;L'!M19</f>
        <v>2920</v>
      </c>
      <c r="N21" s="62" t="n">
        <f aca="false">SUM(B21:M21)</f>
        <v>14600</v>
      </c>
    </row>
    <row r="22" customFormat="false" ht="15" hidden="false" customHeight="false" outlineLevel="0" collapsed="false">
      <c r="A22" s="61" t="s">
        <v>313</v>
      </c>
      <c r="B22" s="62" t="n">
        <f aca="false">SUM(B15:B21)</f>
        <v>26345.02</v>
      </c>
      <c r="C22" s="62" t="n">
        <f aca="false">SUM(C15:C21)</f>
        <v>37239.97</v>
      </c>
      <c r="D22" s="62" t="n">
        <f aca="false">SUM(D15:D21)</f>
        <v>40750.87</v>
      </c>
      <c r="E22" s="62" t="n">
        <f aca="false">SUM(E15:E21)</f>
        <v>38066.76</v>
      </c>
      <c r="F22" s="62" t="n">
        <f aca="false">SUM(F15:F21)</f>
        <v>51898.95</v>
      </c>
      <c r="G22" s="62" t="n">
        <f aca="false">SUM(G15:G21)</f>
        <v>70393.77</v>
      </c>
      <c r="H22" s="62" t="n">
        <f aca="false">SUM(H15:H21)</f>
        <v>99082.48</v>
      </c>
      <c r="I22" s="62" t="n">
        <f aca="false">SUM(I15:I21)</f>
        <v>49770.38375</v>
      </c>
      <c r="J22" s="62" t="n">
        <f aca="false">SUM(J15:J21)</f>
        <v>56639.7155</v>
      </c>
      <c r="K22" s="62" t="n">
        <f aca="false">SUM(K15:K21)</f>
        <v>50530.38375</v>
      </c>
      <c r="L22" s="62" t="n">
        <f aca="false">SUM(L15:L21)</f>
        <v>49770.38375</v>
      </c>
      <c r="M22" s="62" t="n">
        <f aca="false">SUM(M15:M21)</f>
        <v>57399.7155</v>
      </c>
      <c r="N22" s="62" t="n">
        <f aca="false">SUM(N15:N21)</f>
        <v>627888.40225</v>
      </c>
    </row>
    <row r="23" customFormat="false" ht="15" hidden="false" customHeight="false" outlineLevel="0" collapsed="false">
      <c r="A23" s="58" t="s">
        <v>314</v>
      </c>
      <c r="B23" s="60" t="n">
        <f aca="false">B13-B22</f>
        <v>38481.98</v>
      </c>
      <c r="C23" s="60" t="n">
        <f aca="false">C13-C22</f>
        <v>18578.78</v>
      </c>
      <c r="D23" s="60" t="n">
        <f aca="false">D13-D22</f>
        <v>62647.88</v>
      </c>
      <c r="E23" s="60" t="n">
        <f aca="false">E13-E22</f>
        <v>51397.49</v>
      </c>
      <c r="F23" s="60" t="n">
        <f aca="false">F13-F22</f>
        <v>48281.5</v>
      </c>
      <c r="G23" s="60" t="n">
        <f aca="false">G13-G22</f>
        <v>31730.23</v>
      </c>
      <c r="H23" s="60" t="n">
        <f aca="false">H13-H22</f>
        <v>77537.38</v>
      </c>
      <c r="I23" s="60" t="n">
        <f aca="false">I13-I22</f>
        <v>57580.1479960317</v>
      </c>
      <c r="J23" s="60" t="n">
        <f aca="false">J13-J22</f>
        <v>50710.8162460318</v>
      </c>
      <c r="K23" s="60" t="n">
        <f aca="false">K13-K22</f>
        <v>62702.3860912699</v>
      </c>
      <c r="L23" s="60" t="n">
        <f aca="false">L13-L22</f>
        <v>51697.9099007937</v>
      </c>
      <c r="M23" s="60" t="n">
        <f aca="false">M13-M22</f>
        <v>49950.8162460318</v>
      </c>
      <c r="N23" s="60" t="n">
        <f aca="false">N13-N22</f>
        <v>601297.316480159</v>
      </c>
    </row>
    <row r="24" customFormat="false" ht="15" hidden="false" customHeight="false" outlineLevel="0" collapsed="false">
      <c r="A24" s="69" t="s">
        <v>315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customFormat="false" ht="15" hidden="false" customHeight="false" outlineLevel="0" collapsed="false">
      <c r="A25" s="49" t="s">
        <v>270</v>
      </c>
      <c r="B25" s="106" t="n">
        <v>0</v>
      </c>
      <c r="C25" s="106" t="n">
        <v>0</v>
      </c>
      <c r="D25" s="106" t="n">
        <v>0</v>
      </c>
      <c r="E25" s="106" t="n">
        <v>0</v>
      </c>
      <c r="F25" s="106" t="n">
        <v>0</v>
      </c>
      <c r="G25" s="106" t="n">
        <v>0</v>
      </c>
      <c r="H25" s="106" t="n">
        <v>0</v>
      </c>
      <c r="I25" s="107" t="n">
        <f aca="false">'Budget P&amp;L'!I24</f>
        <v>7687.5</v>
      </c>
      <c r="J25" s="107" t="n">
        <f aca="false">'Budget P&amp;L'!J24</f>
        <v>7687.5</v>
      </c>
      <c r="K25" s="107" t="n">
        <f aca="false">'Budget P&amp;L'!K24</f>
        <v>7687.5</v>
      </c>
      <c r="L25" s="107" t="n">
        <f aca="false">'Budget P&amp;L'!L24</f>
        <v>7687.5</v>
      </c>
      <c r="M25" s="107" t="n">
        <f aca="false">'Budget P&amp;L'!M24</f>
        <v>7687.5</v>
      </c>
      <c r="N25" s="62" t="n">
        <f aca="false">SUM(B25:M25)</f>
        <v>38437.5</v>
      </c>
    </row>
    <row r="26" customFormat="false" ht="15" hidden="false" customHeight="false" outlineLevel="0" collapsed="false">
      <c r="A26" s="49" t="s">
        <v>272</v>
      </c>
      <c r="B26" s="106" t="n">
        <v>0</v>
      </c>
      <c r="C26" s="106" t="n">
        <v>0</v>
      </c>
      <c r="D26" s="106" t="n">
        <v>0</v>
      </c>
      <c r="E26" s="106" t="n">
        <v>0</v>
      </c>
      <c r="F26" s="106" t="n">
        <v>0</v>
      </c>
      <c r="G26" s="106" t="n">
        <v>0</v>
      </c>
      <c r="H26" s="106" t="n">
        <v>0</v>
      </c>
      <c r="I26" s="107" t="n">
        <f aca="false">'Budget P&amp;L'!I25</f>
        <v>5666.66666666667</v>
      </c>
      <c r="J26" s="107" t="n">
        <f aca="false">'Budget P&amp;L'!J25</f>
        <v>5666.66666666667</v>
      </c>
      <c r="K26" s="107" t="n">
        <f aca="false">'Budget P&amp;L'!K25</f>
        <v>5666.66666666667</v>
      </c>
      <c r="L26" s="107" t="n">
        <f aca="false">'Budget P&amp;L'!L25</f>
        <v>5666.66666666667</v>
      </c>
      <c r="M26" s="107" t="n">
        <f aca="false">'Budget P&amp;L'!M25</f>
        <v>5666.66666666667</v>
      </c>
      <c r="N26" s="62" t="n">
        <f aca="false">SUM(B26:M26)</f>
        <v>28333.3333333333</v>
      </c>
    </row>
    <row r="27" customFormat="false" ht="15" hidden="false" customHeight="false" outlineLevel="0" collapsed="false">
      <c r="A27" s="49" t="s">
        <v>274</v>
      </c>
      <c r="B27" s="106" t="n">
        <v>0</v>
      </c>
      <c r="C27" s="106" t="n">
        <v>0</v>
      </c>
      <c r="D27" s="106" t="n">
        <v>0</v>
      </c>
      <c r="E27" s="106" t="n">
        <v>0</v>
      </c>
      <c r="F27" s="106" t="n">
        <v>0</v>
      </c>
      <c r="G27" s="106" t="n">
        <v>0</v>
      </c>
      <c r="H27" s="106" t="n">
        <v>0</v>
      </c>
      <c r="I27" s="107" t="n">
        <f aca="false">'Budget P&amp;L'!I26</f>
        <v>1038.82875</v>
      </c>
      <c r="J27" s="107" t="n">
        <f aca="false">'Budget P&amp;L'!J26</f>
        <v>1038.82875</v>
      </c>
      <c r="K27" s="107" t="n">
        <f aca="false">'Budget P&amp;L'!K26</f>
        <v>1038.82875</v>
      </c>
      <c r="L27" s="107" t="n">
        <f aca="false">'Budget P&amp;L'!L26</f>
        <v>1038.82875</v>
      </c>
      <c r="M27" s="107" t="n">
        <f aca="false">'Budget P&amp;L'!M26</f>
        <v>1038.82875</v>
      </c>
      <c r="N27" s="62" t="n">
        <f aca="false">SUM(B27:M27)</f>
        <v>5194.14375</v>
      </c>
    </row>
    <row r="28" customFormat="false" ht="15" hidden="false" customHeight="false" outlineLevel="0" collapsed="false">
      <c r="A28" s="49" t="s">
        <v>275</v>
      </c>
      <c r="B28" s="106" t="n">
        <v>0</v>
      </c>
      <c r="C28" s="106" t="n">
        <v>0</v>
      </c>
      <c r="D28" s="106" t="n">
        <v>0</v>
      </c>
      <c r="E28" s="106" t="n">
        <v>0</v>
      </c>
      <c r="F28" s="106" t="n">
        <v>0</v>
      </c>
      <c r="G28" s="106" t="n">
        <v>0</v>
      </c>
      <c r="H28" s="106" t="n">
        <v>0</v>
      </c>
      <c r="I28" s="107" t="n">
        <f aca="false">'Budget P&amp;L'!I27</f>
        <v>1080</v>
      </c>
      <c r="J28" s="107" t="n">
        <f aca="false">'Budget P&amp;L'!J27</f>
        <v>1080</v>
      </c>
      <c r="K28" s="107" t="n">
        <f aca="false">'Budget P&amp;L'!K27</f>
        <v>1080</v>
      </c>
      <c r="L28" s="107" t="n">
        <f aca="false">'Budget P&amp;L'!L27</f>
        <v>1080</v>
      </c>
      <c r="M28" s="107" t="n">
        <f aca="false">'Budget P&amp;L'!M27</f>
        <v>1080</v>
      </c>
      <c r="N28" s="62" t="n">
        <f aca="false">SUM(B28:M28)</f>
        <v>5400</v>
      </c>
    </row>
    <row r="29" customFormat="false" ht="15" hidden="false" customHeight="false" outlineLevel="0" collapsed="false">
      <c r="A29" s="49" t="s">
        <v>276</v>
      </c>
      <c r="B29" s="106" t="n">
        <v>0</v>
      </c>
      <c r="C29" s="106" t="n">
        <v>0</v>
      </c>
      <c r="D29" s="106" t="n">
        <v>0</v>
      </c>
      <c r="E29" s="106" t="n">
        <v>0</v>
      </c>
      <c r="F29" s="106" t="n">
        <v>0</v>
      </c>
      <c r="G29" s="106" t="n">
        <v>338</v>
      </c>
      <c r="H29" s="106" t="n">
        <v>590.36</v>
      </c>
      <c r="I29" s="107" t="n">
        <f aca="false">'Budget P&amp;L'!I28</f>
        <v>56.33</v>
      </c>
      <c r="J29" s="107" t="n">
        <f aca="false">'Budget P&amp;L'!J28</f>
        <v>56.33</v>
      </c>
      <c r="K29" s="107" t="n">
        <f aca="false">'Budget P&amp;L'!K28</f>
        <v>56.33</v>
      </c>
      <c r="L29" s="107" t="n">
        <f aca="false">'Budget P&amp;L'!L28</f>
        <v>56.33</v>
      </c>
      <c r="M29" s="107" t="n">
        <f aca="false">'Budget P&amp;L'!M28</f>
        <v>56.33</v>
      </c>
      <c r="N29" s="62" t="n">
        <f aca="false">SUM(B29:M29)</f>
        <v>1210.01</v>
      </c>
    </row>
    <row r="30" customFormat="false" ht="15" hidden="false" customHeight="false" outlineLevel="0" collapsed="false">
      <c r="A30" s="49" t="s">
        <v>278</v>
      </c>
      <c r="B30" s="106" t="n">
        <v>9.6</v>
      </c>
      <c r="C30" s="106" t="n">
        <v>5</v>
      </c>
      <c r="D30" s="106" t="n">
        <v>4</v>
      </c>
      <c r="E30" s="106" t="n">
        <v>48.99</v>
      </c>
      <c r="F30" s="106" t="n">
        <v>71.42</v>
      </c>
      <c r="G30" s="106" t="n">
        <v>73.52</v>
      </c>
      <c r="H30" s="106" t="n">
        <v>68.63</v>
      </c>
      <c r="I30" s="107" t="n">
        <f aca="false">'Budget P&amp;L'!I29</f>
        <v>35.42</v>
      </c>
      <c r="J30" s="107" t="n">
        <f aca="false">'Budget P&amp;L'!J29</f>
        <v>35.42</v>
      </c>
      <c r="K30" s="107" t="n">
        <f aca="false">'Budget P&amp;L'!K29</f>
        <v>35.42</v>
      </c>
      <c r="L30" s="107" t="n">
        <f aca="false">'Budget P&amp;L'!L29</f>
        <v>35.42</v>
      </c>
      <c r="M30" s="107" t="n">
        <f aca="false">'Budget P&amp;L'!M29</f>
        <v>35.42</v>
      </c>
      <c r="N30" s="62" t="n">
        <f aca="false">SUM(B30:M30)</f>
        <v>458.26</v>
      </c>
    </row>
    <row r="31" customFormat="false" ht="15" hidden="false" customHeight="false" outlineLevel="0" collapsed="false">
      <c r="A31" s="49" t="s">
        <v>279</v>
      </c>
      <c r="B31" s="106" t="n">
        <v>100</v>
      </c>
      <c r="C31" s="106" t="n">
        <v>100</v>
      </c>
      <c r="D31" s="106" t="n">
        <v>100</v>
      </c>
      <c r="E31" s="106" t="n">
        <v>100</v>
      </c>
      <c r="F31" s="106" t="n">
        <v>185</v>
      </c>
      <c r="G31" s="106" t="n">
        <v>122.99</v>
      </c>
      <c r="H31" s="106" t="n">
        <v>252.57</v>
      </c>
      <c r="I31" s="107" t="n">
        <f aca="false">'Budget P&amp;L'!I30</f>
        <v>118</v>
      </c>
      <c r="J31" s="107" t="n">
        <f aca="false">'Budget P&amp;L'!J30</f>
        <v>118</v>
      </c>
      <c r="K31" s="107" t="n">
        <f aca="false">'Budget P&amp;L'!K30</f>
        <v>118</v>
      </c>
      <c r="L31" s="107" t="n">
        <f aca="false">'Budget P&amp;L'!L30</f>
        <v>118</v>
      </c>
      <c r="M31" s="107" t="n">
        <f aca="false">'Budget P&amp;L'!M30</f>
        <v>118</v>
      </c>
      <c r="N31" s="62" t="n">
        <f aca="false">SUM(B31:M31)</f>
        <v>1550.56</v>
      </c>
    </row>
    <row r="32" customFormat="false" ht="15" hidden="false" customHeight="false" outlineLevel="0" collapsed="false">
      <c r="A32" s="49" t="s">
        <v>280</v>
      </c>
      <c r="B32" s="106" t="n">
        <v>148.98</v>
      </c>
      <c r="C32" s="106" t="n">
        <v>163.14</v>
      </c>
      <c r="D32" s="106" t="n">
        <v>203.88</v>
      </c>
      <c r="E32" s="106" t="n">
        <v>171.34</v>
      </c>
      <c r="F32" s="106" t="n">
        <v>168.44</v>
      </c>
      <c r="G32" s="106" t="n">
        <v>174.18</v>
      </c>
      <c r="H32" s="106" t="n">
        <v>194.18</v>
      </c>
      <c r="I32" s="107" t="n">
        <f aca="false">'Budget P&amp;L'!I31</f>
        <v>171.66</v>
      </c>
      <c r="J32" s="107" t="n">
        <f aca="false">'Budget P&amp;L'!J31</f>
        <v>171.66</v>
      </c>
      <c r="K32" s="107" t="n">
        <f aca="false">'Budget P&amp;L'!K31</f>
        <v>171.66</v>
      </c>
      <c r="L32" s="107" t="n">
        <f aca="false">'Budget P&amp;L'!L31</f>
        <v>171.66</v>
      </c>
      <c r="M32" s="107" t="n">
        <f aca="false">'Budget P&amp;L'!M31</f>
        <v>171.66</v>
      </c>
      <c r="N32" s="62" t="n">
        <f aca="false">SUM(B32:M32)</f>
        <v>2082.44</v>
      </c>
    </row>
    <row r="33" customFormat="false" ht="15" hidden="false" customHeight="false" outlineLevel="0" collapsed="false">
      <c r="A33" s="49" t="s">
        <v>281</v>
      </c>
      <c r="B33" s="106" t="n">
        <v>0</v>
      </c>
      <c r="C33" s="106" t="n">
        <v>0</v>
      </c>
      <c r="D33" s="106" t="n">
        <v>0</v>
      </c>
      <c r="E33" s="106" t="n">
        <v>0</v>
      </c>
      <c r="F33" s="106" t="n">
        <v>0</v>
      </c>
      <c r="G33" s="106" t="n">
        <v>0</v>
      </c>
      <c r="H33" s="106" t="n">
        <v>0</v>
      </c>
      <c r="I33" s="107" t="n">
        <f aca="false">'Budget P&amp;L'!I32</f>
        <v>1150</v>
      </c>
      <c r="J33" s="107" t="n">
        <f aca="false">'Budget P&amp;L'!J32</f>
        <v>1150</v>
      </c>
      <c r="K33" s="107" t="n">
        <f aca="false">'Budget P&amp;L'!K32</f>
        <v>1150</v>
      </c>
      <c r="L33" s="107" t="n">
        <f aca="false">'Budget P&amp;L'!L32</f>
        <v>1150</v>
      </c>
      <c r="M33" s="107" t="n">
        <f aca="false">'Budget P&amp;L'!M32</f>
        <v>1150</v>
      </c>
      <c r="N33" s="62" t="n">
        <f aca="false">SUM(B33:M33)</f>
        <v>5750</v>
      </c>
    </row>
    <row r="34" customFormat="false" ht="15" hidden="false" customHeight="false" outlineLevel="0" collapsed="false">
      <c r="A34" s="49" t="s">
        <v>282</v>
      </c>
      <c r="B34" s="106" t="n">
        <v>399.75</v>
      </c>
      <c r="C34" s="106" t="n">
        <v>293.25</v>
      </c>
      <c r="D34" s="106" t="n">
        <v>1471.25</v>
      </c>
      <c r="E34" s="106" t="n">
        <v>0</v>
      </c>
      <c r="F34" s="106" t="n">
        <v>3419.63</v>
      </c>
      <c r="G34" s="106" t="n">
        <v>5300</v>
      </c>
      <c r="H34" s="106" t="n">
        <v>5200</v>
      </c>
      <c r="I34" s="107" t="n">
        <f aca="false">'Budget P&amp;L'!I33</f>
        <v>1813.98</v>
      </c>
      <c r="J34" s="107" t="n">
        <f aca="false">'Budget P&amp;L'!J33</f>
        <v>1813.98</v>
      </c>
      <c r="K34" s="107" t="n">
        <f aca="false">'Budget P&amp;L'!K33</f>
        <v>1813.98</v>
      </c>
      <c r="L34" s="107" t="n">
        <f aca="false">'Budget P&amp;L'!L33</f>
        <v>1813.98</v>
      </c>
      <c r="M34" s="107" t="n">
        <f aca="false">'Budget P&amp;L'!M33</f>
        <v>1813.98</v>
      </c>
      <c r="N34" s="62" t="n">
        <f aca="false">SUM(B34:M34)</f>
        <v>25153.78</v>
      </c>
    </row>
    <row r="35" customFormat="false" ht="15" hidden="false" customHeight="false" outlineLevel="0" collapsed="false">
      <c r="A35" s="49" t="s">
        <v>283</v>
      </c>
      <c r="B35" s="106" t="n">
        <v>539.3</v>
      </c>
      <c r="C35" s="106" t="n">
        <v>439.55</v>
      </c>
      <c r="D35" s="106" t="n">
        <v>319.77</v>
      </c>
      <c r="E35" s="106" t="n">
        <v>486.47</v>
      </c>
      <c r="F35" s="106" t="n">
        <v>579.59</v>
      </c>
      <c r="G35" s="106" t="n">
        <v>160.62</v>
      </c>
      <c r="H35" s="106" t="n">
        <v>202.85</v>
      </c>
      <c r="I35" s="107" t="n">
        <f aca="false">'Budget P&amp;L'!I34</f>
        <v>420.88</v>
      </c>
      <c r="J35" s="107" t="n">
        <f aca="false">'Budget P&amp;L'!J34</f>
        <v>420.88</v>
      </c>
      <c r="K35" s="107" t="n">
        <f aca="false">'Budget P&amp;L'!K34</f>
        <v>420.88</v>
      </c>
      <c r="L35" s="107" t="n">
        <f aca="false">'Budget P&amp;L'!L34</f>
        <v>420.88</v>
      </c>
      <c r="M35" s="107" t="n">
        <f aca="false">'Budget P&amp;L'!M34</f>
        <v>420.88</v>
      </c>
      <c r="N35" s="62" t="n">
        <f aca="false">SUM(B35:M35)</f>
        <v>4832.55</v>
      </c>
    </row>
    <row r="36" customFormat="false" ht="15" hidden="false" customHeight="false" outlineLevel="0" collapsed="false">
      <c r="A36" s="49" t="s">
        <v>284</v>
      </c>
      <c r="B36" s="106" t="n">
        <v>2705.65</v>
      </c>
      <c r="C36" s="106" t="n">
        <v>1598.23</v>
      </c>
      <c r="D36" s="106" t="n">
        <v>2648.42</v>
      </c>
      <c r="E36" s="106" t="n">
        <v>3059.94</v>
      </c>
      <c r="F36" s="106" t="n">
        <v>1942.95</v>
      </c>
      <c r="G36" s="106" t="n">
        <v>2497.17</v>
      </c>
      <c r="H36" s="106" t="n">
        <v>3145.14</v>
      </c>
      <c r="I36" s="107" t="n">
        <f aca="false">'Budget P&amp;L'!I35</f>
        <v>2408.73</v>
      </c>
      <c r="J36" s="107" t="n">
        <f aca="false">'Budget P&amp;L'!J35</f>
        <v>2408.73</v>
      </c>
      <c r="K36" s="107" t="n">
        <f aca="false">'Budget P&amp;L'!K35</f>
        <v>2408.73</v>
      </c>
      <c r="L36" s="107" t="n">
        <f aca="false">'Budget P&amp;L'!L35</f>
        <v>2408.73</v>
      </c>
      <c r="M36" s="107" t="n">
        <f aca="false">'Budget P&amp;L'!M35</f>
        <v>2408.73</v>
      </c>
      <c r="N36" s="62" t="n">
        <f aca="false">SUM(B36:M36)</f>
        <v>29641.15</v>
      </c>
    </row>
    <row r="37" customFormat="false" ht="15" hidden="false" customHeight="false" outlineLevel="0" collapsed="false">
      <c r="A37" s="49" t="s">
        <v>316</v>
      </c>
      <c r="B37" s="106" t="n">
        <v>1630</v>
      </c>
      <c r="C37" s="106" t="n">
        <v>340</v>
      </c>
      <c r="D37" s="106" t="n">
        <v>280</v>
      </c>
      <c r="E37" s="106" t="n">
        <v>1790</v>
      </c>
      <c r="F37" s="106" t="n">
        <v>4096</v>
      </c>
      <c r="G37" s="106" t="n">
        <v>280</v>
      </c>
      <c r="H37" s="106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M37" s="57" t="n">
        <v>0</v>
      </c>
      <c r="N37" s="62" t="n">
        <f aca="false">SUM(B37:M37)</f>
        <v>8416</v>
      </c>
    </row>
    <row r="38" customFormat="false" ht="15" hidden="false" customHeight="false" outlineLevel="0" collapsed="false">
      <c r="A38" s="49" t="s">
        <v>285</v>
      </c>
      <c r="B38" s="106" t="n">
        <v>162.91</v>
      </c>
      <c r="C38" s="106" t="n">
        <v>244.59</v>
      </c>
      <c r="D38" s="106" t="n">
        <v>295.51</v>
      </c>
      <c r="E38" s="106" t="n">
        <v>91.12</v>
      </c>
      <c r="F38" s="106" t="n">
        <v>222.15</v>
      </c>
      <c r="G38" s="106" t="n">
        <v>328.8</v>
      </c>
      <c r="H38" s="106" t="n">
        <v>404.14</v>
      </c>
      <c r="I38" s="107" t="n">
        <f aca="false">'Budget P&amp;L'!I36</f>
        <v>224.18</v>
      </c>
      <c r="J38" s="107" t="n">
        <f aca="false">'Budget P&amp;L'!J36</f>
        <v>224.18</v>
      </c>
      <c r="K38" s="107" t="n">
        <f aca="false">'Budget P&amp;L'!K36</f>
        <v>224.18</v>
      </c>
      <c r="L38" s="107" t="n">
        <f aca="false">'Budget P&amp;L'!L36</f>
        <v>224.18</v>
      </c>
      <c r="M38" s="107" t="n">
        <f aca="false">'Budget P&amp;L'!M36</f>
        <v>224.18</v>
      </c>
      <c r="N38" s="62" t="n">
        <f aca="false">SUM(B38:M38)</f>
        <v>2870.12</v>
      </c>
    </row>
    <row r="39" customFormat="false" ht="15" hidden="false" customHeight="false" outlineLevel="0" collapsed="false">
      <c r="A39" s="49" t="s">
        <v>286</v>
      </c>
      <c r="B39" s="106" t="n">
        <v>0</v>
      </c>
      <c r="C39" s="106" t="n">
        <v>12</v>
      </c>
      <c r="D39" s="106" t="n">
        <v>0</v>
      </c>
      <c r="E39" s="106" t="n">
        <v>0</v>
      </c>
      <c r="F39" s="106" t="n">
        <v>55.35</v>
      </c>
      <c r="G39" s="106" t="n">
        <v>0</v>
      </c>
      <c r="H39" s="106" t="n">
        <v>0</v>
      </c>
      <c r="I39" s="107" t="n">
        <f aca="false">'Budget P&amp;L'!I37</f>
        <v>11.22</v>
      </c>
      <c r="J39" s="107" t="n">
        <f aca="false">'Budget P&amp;L'!J37</f>
        <v>11.22</v>
      </c>
      <c r="K39" s="107" t="n">
        <f aca="false">'Budget P&amp;L'!K37</f>
        <v>11.22</v>
      </c>
      <c r="L39" s="107" t="n">
        <f aca="false">'Budget P&amp;L'!L37</f>
        <v>11.22</v>
      </c>
      <c r="M39" s="107" t="n">
        <f aca="false">'Budget P&amp;L'!M37</f>
        <v>11.22</v>
      </c>
      <c r="N39" s="62" t="n">
        <f aca="false">SUM(B39:M39)</f>
        <v>123.45</v>
      </c>
    </row>
    <row r="40" customFormat="false" ht="15" hidden="false" customHeight="false" outlineLevel="0" collapsed="false">
      <c r="A40" s="49" t="s">
        <v>287</v>
      </c>
      <c r="B40" s="106" t="n">
        <v>1200</v>
      </c>
      <c r="C40" s="106" t="n">
        <v>1200</v>
      </c>
      <c r="D40" s="106" t="n">
        <v>1200</v>
      </c>
      <c r="E40" s="106" t="n">
        <v>1200</v>
      </c>
      <c r="F40" s="106" t="n">
        <v>1200</v>
      </c>
      <c r="G40" s="106" t="n">
        <v>1200</v>
      </c>
      <c r="H40" s="106" t="n">
        <v>1200</v>
      </c>
      <c r="I40" s="107" t="n">
        <f aca="false">'Budget P&amp;L'!I38</f>
        <v>1200</v>
      </c>
      <c r="J40" s="107" t="n">
        <f aca="false">'Budget P&amp;L'!J38</f>
        <v>1200</v>
      </c>
      <c r="K40" s="107" t="n">
        <f aca="false">'Budget P&amp;L'!K38</f>
        <v>1200</v>
      </c>
      <c r="L40" s="107" t="n">
        <f aca="false">'Budget P&amp;L'!L38</f>
        <v>1200</v>
      </c>
      <c r="M40" s="107" t="n">
        <f aca="false">'Budget P&amp;L'!M38</f>
        <v>1200</v>
      </c>
      <c r="N40" s="62" t="n">
        <f aca="false">SUM(B40:M40)</f>
        <v>14400</v>
      </c>
    </row>
    <row r="41" customFormat="false" ht="15" hidden="false" customHeight="false" outlineLevel="0" collapsed="false">
      <c r="A41" s="49" t="s">
        <v>317</v>
      </c>
      <c r="B41" s="106" t="n">
        <v>0</v>
      </c>
      <c r="C41" s="106" t="n">
        <v>0</v>
      </c>
      <c r="D41" s="106" t="n">
        <v>0</v>
      </c>
      <c r="E41" s="106" t="n">
        <v>0</v>
      </c>
      <c r="F41" s="106" t="n">
        <v>0</v>
      </c>
      <c r="G41" s="106" t="n">
        <v>0</v>
      </c>
      <c r="H41" s="106" t="n">
        <v>0</v>
      </c>
      <c r="I41" s="57" t="n">
        <v>0</v>
      </c>
      <c r="J41" s="57" t="n">
        <v>0</v>
      </c>
      <c r="K41" s="57" t="n">
        <v>0</v>
      </c>
      <c r="L41" s="57" t="n">
        <v>0</v>
      </c>
      <c r="M41" s="57" t="n">
        <v>0</v>
      </c>
      <c r="N41" s="62" t="n">
        <f aca="false">SUM(B41:M41)</f>
        <v>0</v>
      </c>
    </row>
    <row r="42" customFormat="false" ht="15" hidden="false" customHeight="false" outlineLevel="0" collapsed="false">
      <c r="A42" s="49" t="s">
        <v>288</v>
      </c>
      <c r="B42" s="106" t="n">
        <v>0</v>
      </c>
      <c r="C42" s="106" t="n">
        <v>0</v>
      </c>
      <c r="D42" s="106" t="n">
        <v>0</v>
      </c>
      <c r="E42" s="106" t="n">
        <v>207.36</v>
      </c>
      <c r="F42" s="106" t="n">
        <v>0</v>
      </c>
      <c r="G42" s="106" t="n">
        <v>0</v>
      </c>
      <c r="H42" s="106" t="n">
        <v>0</v>
      </c>
      <c r="I42" s="107" t="n">
        <f aca="false">'Budget P&amp;L'!I39</f>
        <v>34.56</v>
      </c>
      <c r="J42" s="107" t="n">
        <f aca="false">'Budget P&amp;L'!J39</f>
        <v>34.56</v>
      </c>
      <c r="K42" s="107" t="n">
        <f aca="false">'Budget P&amp;L'!K39</f>
        <v>34.56</v>
      </c>
      <c r="L42" s="107" t="n">
        <f aca="false">'Budget P&amp;L'!L39</f>
        <v>34.56</v>
      </c>
      <c r="M42" s="107" t="n">
        <f aca="false">'Budget P&amp;L'!M39</f>
        <v>34.56</v>
      </c>
      <c r="N42" s="62" t="n">
        <f aca="false">SUM(B42:M42)</f>
        <v>380.16</v>
      </c>
    </row>
    <row r="43" customFormat="false" ht="15" hidden="false" customHeight="false" outlineLevel="0" collapsed="false">
      <c r="A43" s="61" t="s">
        <v>318</v>
      </c>
      <c r="B43" s="62" t="n">
        <f aca="false">SUM(B25:B42)</f>
        <v>6896.19</v>
      </c>
      <c r="C43" s="62" t="n">
        <f aca="false">SUM(C25:C42)</f>
        <v>4395.76</v>
      </c>
      <c r="D43" s="62" t="n">
        <f aca="false">SUM(D25:D42)</f>
        <v>6522.83</v>
      </c>
      <c r="E43" s="62" t="n">
        <f aca="false">SUM(E25:E42)</f>
        <v>7155.22</v>
      </c>
      <c r="F43" s="62" t="n">
        <f aca="false">SUM(F25:F42)</f>
        <v>11940.53</v>
      </c>
      <c r="G43" s="62" t="n">
        <f aca="false">SUM(G25:G42)</f>
        <v>10475.28</v>
      </c>
      <c r="H43" s="62" t="n">
        <f aca="false">SUM(H25:H42)</f>
        <v>11257.87</v>
      </c>
      <c r="I43" s="62" t="n">
        <f aca="false">SUM(I25:I42)</f>
        <v>23117.9554166667</v>
      </c>
      <c r="J43" s="62" t="n">
        <f aca="false">SUM(J25:J42)</f>
        <v>23117.9554166667</v>
      </c>
      <c r="K43" s="62" t="n">
        <f aca="false">SUM(K25:K42)</f>
        <v>23117.9554166667</v>
      </c>
      <c r="L43" s="62" t="n">
        <f aca="false">SUM(L25:L42)</f>
        <v>23117.9554166667</v>
      </c>
      <c r="M43" s="62" t="n">
        <f aca="false">SUM(M25:M42)</f>
        <v>23117.9554166667</v>
      </c>
      <c r="N43" s="62" t="n">
        <f aca="false">SUM(N25:N42)</f>
        <v>174233.457083333</v>
      </c>
    </row>
    <row r="44" customFormat="false" ht="15" hidden="false" customHeight="false" outlineLevel="0" collapsed="false">
      <c r="A44" s="108" t="s">
        <v>319</v>
      </c>
      <c r="B44" s="109" t="n">
        <f aca="false">B23-B43</f>
        <v>31585.79</v>
      </c>
      <c r="C44" s="109" t="n">
        <f aca="false">C23-C43</f>
        <v>14183.02</v>
      </c>
      <c r="D44" s="109" t="n">
        <f aca="false">D23-D43</f>
        <v>56125.05</v>
      </c>
      <c r="E44" s="109" t="n">
        <f aca="false">E23-E43</f>
        <v>44242.27</v>
      </c>
      <c r="F44" s="109" t="n">
        <f aca="false">F23-F43</f>
        <v>36340.97</v>
      </c>
      <c r="G44" s="109" t="n">
        <f aca="false">G23-G43</f>
        <v>21254.95</v>
      </c>
      <c r="H44" s="109" t="n">
        <f aca="false">H23-H43</f>
        <v>66279.51</v>
      </c>
      <c r="I44" s="109" t="n">
        <f aca="false">I23-I43</f>
        <v>34462.1925793651</v>
      </c>
      <c r="J44" s="109" t="n">
        <f aca="false">J23-J43</f>
        <v>27592.8608293651</v>
      </c>
      <c r="K44" s="109" t="n">
        <f aca="false">K23-K43</f>
        <v>39584.4306746032</v>
      </c>
      <c r="L44" s="109" t="n">
        <f aca="false">L23-L43</f>
        <v>28579.954484127</v>
      </c>
      <c r="M44" s="109" t="n">
        <f aca="false">M23-M43</f>
        <v>26832.8608293651</v>
      </c>
      <c r="N44" s="109" t="n">
        <f aca="false">N23-N43</f>
        <v>427063.859396826</v>
      </c>
    </row>
    <row r="45" customFormat="false" ht="15" hidden="false" customHeight="false" outlineLevel="0" collapsed="false">
      <c r="A45" s="79" t="s">
        <v>320</v>
      </c>
      <c r="B45" s="110" t="n">
        <f aca="false">IF(B13=0,0,B44/B13)</f>
        <v>0.487232017523563</v>
      </c>
      <c r="C45" s="110" t="n">
        <f aca="false">IF(C13=0,0,C44/C13)</f>
        <v>0.254090605755235</v>
      </c>
      <c r="D45" s="110" t="n">
        <f aca="false">IF(D13=0,0,D44/D13)</f>
        <v>0.542802016465383</v>
      </c>
      <c r="E45" s="110" t="n">
        <f aca="false">IF(E13=0,0,E44/E13)</f>
        <v>0.4945245726645</v>
      </c>
      <c r="F45" s="110" t="n">
        <f aca="false">IF(F13=0,0,F44/F13)</f>
        <v>0.36275510840688</v>
      </c>
      <c r="G45" s="110" t="n">
        <f aca="false">IF(G13=0,0,G44/G13)</f>
        <v>0.208128843366887</v>
      </c>
      <c r="H45" s="110" t="n">
        <f aca="false">IF(H13=0,0,H44/H13)</f>
        <v>0.37526646210681</v>
      </c>
      <c r="I45" s="110" t="n">
        <f aca="false">IF(I13=0,0,I44/I13)</f>
        <v>0.321024889386624</v>
      </c>
      <c r="J45" s="110" t="n">
        <f aca="false">IF(J13=0,0,J44/J13)</f>
        <v>0.257035157447043</v>
      </c>
      <c r="K45" s="110" t="n">
        <f aca="false">IF(K13=0,0,K44/K13)</f>
        <v>0.349584583421326</v>
      </c>
      <c r="L45" s="110" t="n">
        <f aca="false">IF(L13=0,0,L44/L13)</f>
        <v>0.281663891801372</v>
      </c>
      <c r="M45" s="110" t="n">
        <f aca="false">IF(M13=0,0,M44/M13)</f>
        <v>0.249955546497393</v>
      </c>
      <c r="N45" s="110" t="n">
        <f aca="false">IF(N13=0,0,N44/N13)</f>
        <v>0.347436398657491</v>
      </c>
    </row>
    <row r="46" customFormat="false" ht="15" hidden="false" customHeight="false" outlineLevel="0" collapsed="false">
      <c r="A46" s="19" t="s">
        <v>321</v>
      </c>
      <c r="B46" s="111" t="n">
        <f aca="false">SUM(B44:H44)</f>
        <v>270011.56</v>
      </c>
      <c r="C46" s="112" t="n">
        <f aca="false">SUM(I44:M44)</f>
        <v>157052.299396825</v>
      </c>
      <c r="D46" s="19" t="s">
        <v>322</v>
      </c>
    </row>
    <row r="48" customFormat="false" ht="15" hidden="false" customHeight="false" outlineLevel="0" collapsed="false">
      <c r="A48" s="69" t="s">
        <v>323</v>
      </c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</row>
    <row r="49" customFormat="false" ht="25.5" hidden="false" customHeight="true" outlineLevel="0" collapsed="false">
      <c r="A49" s="113" t="s">
        <v>324</v>
      </c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</row>
    <row r="50" customFormat="false" ht="15" hidden="false" customHeight="false" outlineLevel="0" collapsed="false">
      <c r="A50" s="52" t="s">
        <v>325</v>
      </c>
      <c r="N50" s="37" t="n">
        <f aca="false">N44</f>
        <v>427063.859396826</v>
      </c>
    </row>
    <row r="51" customFormat="false" ht="15" hidden="false" customHeight="false" outlineLevel="0" collapsed="false">
      <c r="A51" s="49" t="s">
        <v>326</v>
      </c>
      <c r="N51" s="114" t="n">
        <f aca="false">-SUM('Budget P&amp;L'!$B$24:$H$24)</f>
        <v>-53812.5</v>
      </c>
    </row>
    <row r="52" customFormat="false" ht="15" hidden="false" customHeight="false" outlineLevel="0" collapsed="false">
      <c r="A52" s="49" t="s">
        <v>327</v>
      </c>
      <c r="N52" s="114" t="n">
        <f aca="false">-SUM('Budget P&amp;L'!$B$25:$H$25)</f>
        <v>-39666.6666666667</v>
      </c>
    </row>
    <row r="53" customFormat="false" ht="15" hidden="false" customHeight="false" outlineLevel="0" collapsed="false">
      <c r="A53" s="49" t="s">
        <v>328</v>
      </c>
      <c r="N53" s="114" t="n">
        <f aca="false">-SUM('Budget P&amp;L'!$B$26:$H$26)</f>
        <v>-7271.80125</v>
      </c>
    </row>
    <row r="54" customFormat="false" ht="15" hidden="false" customHeight="false" outlineLevel="0" collapsed="false">
      <c r="A54" s="49" t="s">
        <v>329</v>
      </c>
      <c r="N54" s="114" t="n">
        <f aca="false">-SUM('Budget P&amp;L'!$B$27:$H$27)</f>
        <v>-7560</v>
      </c>
    </row>
    <row r="55" customFormat="false" ht="15" hidden="false" customHeight="false" outlineLevel="0" collapsed="false">
      <c r="A55" s="49" t="s">
        <v>330</v>
      </c>
      <c r="N55" s="114" t="n">
        <f aca="false">-SUM('Budget P&amp;L'!$B$19:$H$19)</f>
        <v>-20440</v>
      </c>
    </row>
    <row r="56" customFormat="false" ht="15" hidden="false" customHeight="false" outlineLevel="0" collapsed="false">
      <c r="A56" s="49" t="s">
        <v>331</v>
      </c>
      <c r="N56" s="114" t="n">
        <f aca="false">-SUM('Budget P&amp;L'!$B$32:$H$32)</f>
        <v>-8050</v>
      </c>
    </row>
    <row r="57" customFormat="false" ht="15" hidden="false" customHeight="false" outlineLevel="0" collapsed="false">
      <c r="A57" s="84" t="s">
        <v>332</v>
      </c>
      <c r="N57" s="85" t="n">
        <f aca="false">N50+SUM(N51:N56)</f>
        <v>290262.891480159</v>
      </c>
    </row>
    <row r="59" customFormat="false" ht="25.5" hidden="false" customHeight="true" outlineLevel="0" collapsed="false">
      <c r="A59" s="113" t="s">
        <v>333</v>
      </c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</row>
    <row r="60" customFormat="false" ht="25.5" hidden="false" customHeight="true" outlineLevel="0" collapsed="false">
      <c r="A60" s="113" t="s">
        <v>334</v>
      </c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</row>
    <row r="61" customFormat="false" ht="25.5" hidden="false" customHeight="true" outlineLevel="0" collapsed="false">
      <c r="A61" s="113" t="s">
        <v>335</v>
      </c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</row>
  </sheetData>
  <mergeCells count="4">
    <mergeCell ref="A49:N49"/>
    <mergeCell ref="A59:N59"/>
    <mergeCell ref="A60:N60"/>
    <mergeCell ref="A61:N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5"/>
    <col collapsed="false" customWidth="true" hidden="false" outlineLevel="0" max="5" min="5" style="0" width="62"/>
  </cols>
  <sheetData>
    <row r="1" customFormat="false" ht="17.35" hidden="false" customHeight="false" outlineLevel="0" collapsed="false">
      <c r="B1" s="66" t="s">
        <v>0</v>
      </c>
    </row>
    <row r="2" customFormat="false" ht="15" hidden="false" customHeight="false" outlineLevel="0" collapsed="false">
      <c r="B2" s="67" t="s">
        <v>336</v>
      </c>
    </row>
    <row r="3" customFormat="false" ht="15" hidden="false" customHeight="false" outlineLevel="0" collapsed="false">
      <c r="B3" s="19" t="s">
        <v>337</v>
      </c>
    </row>
    <row r="4" customFormat="false" ht="15" hidden="false" customHeight="false" outlineLevel="0" collapsed="false">
      <c r="B4" s="20" t="s">
        <v>338</v>
      </c>
    </row>
    <row r="6" customFormat="false" ht="15" hidden="false" customHeight="false" outlineLevel="0" collapsed="false">
      <c r="B6" s="69" t="s">
        <v>339</v>
      </c>
      <c r="C6" s="51"/>
      <c r="D6" s="51"/>
      <c r="E6" s="51"/>
    </row>
    <row r="7" customFormat="false" ht="15" hidden="false" customHeight="false" outlineLevel="0" collapsed="false">
      <c r="B7" s="49" t="s">
        <v>340</v>
      </c>
      <c r="C7" s="115" t="s">
        <v>341</v>
      </c>
      <c r="E7" s="19" t="s">
        <v>342</v>
      </c>
    </row>
    <row r="8" customFormat="false" ht="15" hidden="false" customHeight="false" outlineLevel="0" collapsed="false">
      <c r="B8" s="49" t="s">
        <v>343</v>
      </c>
      <c r="C8" s="115" t="s">
        <v>344</v>
      </c>
      <c r="E8" s="19" t="s">
        <v>345</v>
      </c>
    </row>
    <row r="9" customFormat="false" ht="15" hidden="false" customHeight="false" outlineLevel="0" collapsed="false">
      <c r="B9" s="49" t="s">
        <v>346</v>
      </c>
      <c r="C9" s="56" t="n">
        <v>1</v>
      </c>
      <c r="E9" s="19" t="s">
        <v>347</v>
      </c>
    </row>
    <row r="10" customFormat="false" ht="15" hidden="false" customHeight="false" outlineLevel="0" collapsed="false">
      <c r="B10" s="49" t="s">
        <v>348</v>
      </c>
      <c r="C10" s="116" t="n">
        <v>0</v>
      </c>
      <c r="E10" s="19" t="s">
        <v>349</v>
      </c>
    </row>
    <row r="11" customFormat="false" ht="15" hidden="false" customHeight="false" outlineLevel="0" collapsed="false">
      <c r="B11" s="49" t="s">
        <v>350</v>
      </c>
      <c r="C11" s="116" t="n">
        <v>0</v>
      </c>
      <c r="E11" s="19" t="s">
        <v>351</v>
      </c>
    </row>
    <row r="13" customFormat="false" ht="15" hidden="false" customHeight="false" outlineLevel="0" collapsed="false">
      <c r="B13" s="69" t="s">
        <v>352</v>
      </c>
      <c r="C13" s="51"/>
      <c r="D13" s="51"/>
      <c r="E13" s="51"/>
    </row>
    <row r="14" customFormat="false" ht="15" hidden="false" customHeight="false" outlineLevel="0" collapsed="false">
      <c r="B14" s="49" t="s">
        <v>353</v>
      </c>
      <c r="C14" s="107" t="n">
        <f aca="false">'Forecast 2026'!$N$44</f>
        <v>427063.859396826</v>
      </c>
      <c r="E14" s="19" t="s">
        <v>354</v>
      </c>
    </row>
    <row r="15" customFormat="false" ht="15" hidden="false" customHeight="false" outlineLevel="0" collapsed="false">
      <c r="B15" s="49" t="s">
        <v>355</v>
      </c>
      <c r="C15" s="57" t="n">
        <f aca="false">Assumptions!$B$28/12*5</f>
        <v>76875</v>
      </c>
      <c r="E15" s="19" t="s">
        <v>356</v>
      </c>
    </row>
    <row r="16" customFormat="false" ht="15" hidden="false" customHeight="false" outlineLevel="0" collapsed="false">
      <c r="B16" s="49" t="s">
        <v>357</v>
      </c>
      <c r="C16" s="57" t="n">
        <f aca="false">'Staff P&amp;L'!$J$6/12*5</f>
        <v>5944.77083333333</v>
      </c>
      <c r="E16" s="19" t="s">
        <v>358</v>
      </c>
    </row>
    <row r="17" customFormat="false" ht="15" hidden="false" customHeight="false" outlineLevel="0" collapsed="false">
      <c r="B17" s="49" t="s">
        <v>359</v>
      </c>
      <c r="C17" s="116" t="n">
        <v>0</v>
      </c>
      <c r="E17" s="19" t="s">
        <v>360</v>
      </c>
    </row>
    <row r="18" customFormat="false" ht="15" hidden="false" customHeight="false" outlineLevel="0" collapsed="false">
      <c r="B18" s="61" t="s">
        <v>361</v>
      </c>
      <c r="C18" s="62" t="n">
        <f aca="false">C14+C15+C16+C17</f>
        <v>509883.630230159</v>
      </c>
      <c r="E18" s="19" t="s">
        <v>362</v>
      </c>
    </row>
    <row r="19" customFormat="false" ht="15" hidden="false" customHeight="false" outlineLevel="0" collapsed="false">
      <c r="B19" s="49" t="s">
        <v>363</v>
      </c>
      <c r="C19" s="114" t="n">
        <f aca="false">-Assumptions!$B$28</f>
        <v>-184500</v>
      </c>
      <c r="E19" s="19" t="s">
        <v>364</v>
      </c>
    </row>
    <row r="20" customFormat="false" ht="15" hidden="false" customHeight="false" outlineLevel="0" collapsed="false">
      <c r="B20" s="49" t="s">
        <v>365</v>
      </c>
      <c r="C20" s="114" t="n">
        <f aca="false">-'Staff P&amp;L'!$J$6</f>
        <v>-14267.45</v>
      </c>
      <c r="E20" s="19" t="s">
        <v>366</v>
      </c>
    </row>
    <row r="21" customFormat="false" ht="15" hidden="false" customHeight="false" outlineLevel="0" collapsed="false">
      <c r="B21" s="58" t="s">
        <v>367</v>
      </c>
      <c r="C21" s="60" t="n">
        <f aca="false">(C18+C19+C20)*C9</f>
        <v>311116.180230159</v>
      </c>
      <c r="E21" s="19" t="s">
        <v>368</v>
      </c>
    </row>
    <row r="23" customFormat="false" ht="15" hidden="false" customHeight="false" outlineLevel="0" collapsed="false">
      <c r="B23" s="69" t="s">
        <v>369</v>
      </c>
      <c r="C23" s="51"/>
      <c r="D23" s="51"/>
      <c r="E23" s="51"/>
    </row>
    <row r="24" customFormat="false" ht="15" hidden="false" customHeight="false" outlineLevel="0" collapsed="false">
      <c r="B24" s="49" t="s">
        <v>370</v>
      </c>
      <c r="C24" s="116" t="n">
        <v>32200</v>
      </c>
      <c r="E24" s="19" t="s">
        <v>371</v>
      </c>
    </row>
    <row r="25" customFormat="false" ht="15" hidden="false" customHeight="false" outlineLevel="0" collapsed="false">
      <c r="B25" s="49" t="s">
        <v>372</v>
      </c>
      <c r="C25" s="107" t="n">
        <f aca="false">Assumptions!$B$20</f>
        <v>184500</v>
      </c>
      <c r="E25" s="19" t="s">
        <v>373</v>
      </c>
    </row>
    <row r="26" customFormat="false" ht="15" hidden="false" customHeight="false" outlineLevel="0" collapsed="false">
      <c r="B26" s="49" t="s">
        <v>374</v>
      </c>
      <c r="C26" s="117" t="n">
        <v>0.062</v>
      </c>
    </row>
    <row r="27" customFormat="false" ht="15" hidden="false" customHeight="false" outlineLevel="0" collapsed="false">
      <c r="B27" s="49" t="s">
        <v>375</v>
      </c>
      <c r="C27" s="117" t="n">
        <v>0.0145</v>
      </c>
    </row>
    <row r="28" customFormat="false" ht="15" hidden="false" customHeight="false" outlineLevel="0" collapsed="false">
      <c r="B28" s="49" t="s">
        <v>376</v>
      </c>
      <c r="C28" s="117" t="n">
        <v>0.009</v>
      </c>
      <c r="E28" s="19" t="s">
        <v>377</v>
      </c>
    </row>
    <row r="29" customFormat="false" ht="15" hidden="false" customHeight="false" outlineLevel="0" collapsed="false">
      <c r="B29" s="49" t="s">
        <v>378</v>
      </c>
      <c r="C29" s="116" t="n">
        <v>250000</v>
      </c>
      <c r="E29" s="19" t="s">
        <v>379</v>
      </c>
    </row>
    <row r="30" customFormat="false" ht="15" hidden="false" customHeight="false" outlineLevel="0" collapsed="false">
      <c r="B30" s="49" t="s">
        <v>380</v>
      </c>
      <c r="C30" s="117" t="n">
        <v>0.025</v>
      </c>
      <c r="E30" s="19" t="s">
        <v>381</v>
      </c>
    </row>
    <row r="31" customFormat="false" ht="15" hidden="false" customHeight="false" outlineLevel="0" collapsed="false">
      <c r="B31" s="49" t="s">
        <v>382</v>
      </c>
      <c r="C31" s="56" t="n">
        <v>0.2</v>
      </c>
      <c r="E31" s="19" t="s">
        <v>383</v>
      </c>
    </row>
    <row r="32" customFormat="false" ht="15" hidden="false" customHeight="false" outlineLevel="0" collapsed="false">
      <c r="B32" s="49" t="s">
        <v>384</v>
      </c>
      <c r="C32" s="116" t="n">
        <v>403000</v>
      </c>
      <c r="E32" s="19" t="s">
        <v>385</v>
      </c>
    </row>
    <row r="33" customFormat="false" ht="15" hidden="false" customHeight="false" outlineLevel="0" collapsed="false">
      <c r="B33" s="49" t="s">
        <v>386</v>
      </c>
      <c r="C33" s="116" t="n">
        <v>150000</v>
      </c>
      <c r="E33" s="19" t="s">
        <v>387</v>
      </c>
    </row>
    <row r="35" customFormat="false" ht="15" hidden="false" customHeight="false" outlineLevel="0" collapsed="false">
      <c r="B35" s="69" t="s">
        <v>388</v>
      </c>
      <c r="C35" s="51"/>
      <c r="D35" s="51"/>
      <c r="E35" s="51"/>
    </row>
    <row r="36" customFormat="false" ht="15" hidden="false" customHeight="false" outlineLevel="0" collapsed="false">
      <c r="B36" s="51"/>
      <c r="C36" s="68" t="s">
        <v>389</v>
      </c>
      <c r="D36" s="68" t="s">
        <v>390</v>
      </c>
      <c r="E36" s="68" t="s">
        <v>391</v>
      </c>
    </row>
    <row r="37" customFormat="false" ht="15" hidden="false" customHeight="false" outlineLevel="0" collapsed="false">
      <c r="B37" s="118" t="s">
        <v>392</v>
      </c>
      <c r="C37" s="116" t="n">
        <v>0</v>
      </c>
      <c r="D37" s="56" t="n">
        <v>0.1</v>
      </c>
      <c r="E37" s="57" t="n">
        <f aca="false">MAX(0,$C$56-C37)*(D37-0)</f>
        <v>42625.4879140532</v>
      </c>
    </row>
    <row r="38" customFormat="false" ht="15" hidden="false" customHeight="false" outlineLevel="0" collapsed="false">
      <c r="B38" s="118" t="s">
        <v>393</v>
      </c>
      <c r="C38" s="116" t="n">
        <v>24800</v>
      </c>
      <c r="D38" s="56" t="n">
        <v>0.12</v>
      </c>
      <c r="E38" s="57" t="n">
        <f aca="false">MAX(0,$C$56-C38)*(D38-D37)</f>
        <v>8029.09758281064</v>
      </c>
    </row>
    <row r="39" customFormat="false" ht="15" hidden="false" customHeight="false" outlineLevel="0" collapsed="false">
      <c r="B39" s="118" t="s">
        <v>394</v>
      </c>
      <c r="C39" s="116" t="n">
        <v>100800</v>
      </c>
      <c r="D39" s="56" t="n">
        <v>0.22</v>
      </c>
      <c r="E39" s="57" t="n">
        <f aca="false">MAX(0,$C$56-C39)*(D39-D38)</f>
        <v>32545.4879140532</v>
      </c>
    </row>
    <row r="40" customFormat="false" ht="15" hidden="false" customHeight="false" outlineLevel="0" collapsed="false">
      <c r="B40" s="118" t="s">
        <v>395</v>
      </c>
      <c r="C40" s="116" t="n">
        <v>211100</v>
      </c>
      <c r="D40" s="56" t="n">
        <v>0.24</v>
      </c>
      <c r="E40" s="57" t="n">
        <f aca="false">MAX(0,$C$56-C40)*(D40-D39)</f>
        <v>4303.09758281064</v>
      </c>
    </row>
    <row r="41" customFormat="false" ht="15" hidden="false" customHeight="false" outlineLevel="0" collapsed="false">
      <c r="B41" s="118" t="s">
        <v>396</v>
      </c>
      <c r="C41" s="116" t="n">
        <v>403000</v>
      </c>
      <c r="D41" s="56" t="n">
        <v>0.32</v>
      </c>
      <c r="E41" s="57" t="n">
        <f aca="false">MAX(0,$C$56-C41)*(D41-D40)</f>
        <v>1860.39033124257</v>
      </c>
    </row>
    <row r="42" customFormat="false" ht="15" hidden="false" customHeight="false" outlineLevel="0" collapsed="false">
      <c r="B42" s="118" t="s">
        <v>397</v>
      </c>
      <c r="C42" s="116" t="n">
        <v>512450</v>
      </c>
      <c r="D42" s="56" t="n">
        <v>0.35</v>
      </c>
      <c r="E42" s="57" t="n">
        <f aca="false">MAX(0,$C$56-C42)*(D42-D41)</f>
        <v>0</v>
      </c>
    </row>
    <row r="43" customFormat="false" ht="15" hidden="false" customHeight="false" outlineLevel="0" collapsed="false">
      <c r="B43" s="118" t="s">
        <v>398</v>
      </c>
      <c r="C43" s="116" t="n">
        <v>768700</v>
      </c>
      <c r="D43" s="56" t="n">
        <v>0.37</v>
      </c>
      <c r="E43" s="57" t="n">
        <f aca="false">MAX(0,$C$56-C43)*(D43-D42)</f>
        <v>0</v>
      </c>
    </row>
    <row r="44" customFormat="false" ht="15" hidden="false" customHeight="false" outlineLevel="0" collapsed="false">
      <c r="B44" s="61" t="s">
        <v>399</v>
      </c>
      <c r="E44" s="119" t="n">
        <f aca="false">SUM(E37:E43)</f>
        <v>89363.5613249703</v>
      </c>
    </row>
    <row r="46" customFormat="false" ht="15" hidden="false" customHeight="false" outlineLevel="0" collapsed="false">
      <c r="B46" s="69" t="s">
        <v>400</v>
      </c>
      <c r="C46" s="51"/>
      <c r="D46" s="51"/>
      <c r="E46" s="51"/>
    </row>
    <row r="47" customFormat="false" ht="15" hidden="false" customHeight="false" outlineLevel="0" collapsed="false">
      <c r="B47" s="49" t="s">
        <v>401</v>
      </c>
      <c r="C47" s="107" t="n">
        <f aca="false">Assumptions!$B$28</f>
        <v>184500</v>
      </c>
    </row>
    <row r="48" customFormat="false" ht="15" hidden="false" customHeight="false" outlineLevel="0" collapsed="false">
      <c r="B48" s="49" t="s">
        <v>402</v>
      </c>
      <c r="C48" s="57" t="n">
        <f aca="false">C21</f>
        <v>311116.180230159</v>
      </c>
    </row>
    <row r="49" customFormat="false" ht="15" hidden="false" customHeight="false" outlineLevel="0" collapsed="false">
      <c r="B49" s="49" t="s">
        <v>403</v>
      </c>
      <c r="C49" s="57" t="n">
        <f aca="false">C10</f>
        <v>0</v>
      </c>
    </row>
    <row r="50" customFormat="false" ht="15" hidden="false" customHeight="false" outlineLevel="0" collapsed="false">
      <c r="B50" s="49" t="s">
        <v>350</v>
      </c>
      <c r="C50" s="57" t="n">
        <f aca="false">C11</f>
        <v>0</v>
      </c>
    </row>
    <row r="51" customFormat="false" ht="15" hidden="false" customHeight="false" outlineLevel="0" collapsed="false">
      <c r="B51" s="61" t="s">
        <v>404</v>
      </c>
      <c r="C51" s="62" t="n">
        <f aca="false">C47+C48+C49+C50</f>
        <v>495616.180230159</v>
      </c>
    </row>
    <row r="52" customFormat="false" ht="15" hidden="false" customHeight="false" outlineLevel="0" collapsed="false">
      <c r="B52" s="49" t="s">
        <v>405</v>
      </c>
      <c r="C52" s="114" t="n">
        <f aca="false">-C24</f>
        <v>-32200</v>
      </c>
    </row>
    <row r="53" customFormat="false" ht="15" hidden="false" customHeight="false" outlineLevel="0" collapsed="false">
      <c r="B53" s="52" t="s">
        <v>406</v>
      </c>
      <c r="C53" s="37" t="n">
        <f aca="false">MAX(0,C51+C52)</f>
        <v>463416.180230159</v>
      </c>
    </row>
    <row r="54" customFormat="false" ht="15" hidden="false" customHeight="false" outlineLevel="0" collapsed="false">
      <c r="B54" s="49" t="s">
        <v>407</v>
      </c>
      <c r="C54" s="120" t="n">
        <f aca="false">1-MIN(1,MAX(0,(C53-C32)/C33))</f>
        <v>0.597225465132275</v>
      </c>
      <c r="E54" s="19" t="s">
        <v>408</v>
      </c>
    </row>
    <row r="55" customFormat="false" ht="15" hidden="false" customHeight="false" outlineLevel="0" collapsed="false">
      <c r="B55" s="49" t="s">
        <v>409</v>
      </c>
      <c r="C55" s="114" t="n">
        <f aca="false">-MIN(C31*MAX(0,C48)*C54,C31*C53)</f>
        <v>-37161.3010896266</v>
      </c>
      <c r="E55" s="19" t="s">
        <v>410</v>
      </c>
    </row>
    <row r="56" customFormat="false" ht="15" hidden="false" customHeight="false" outlineLevel="0" collapsed="false">
      <c r="B56" s="58" t="s">
        <v>411</v>
      </c>
      <c r="C56" s="60" t="n">
        <f aca="false">MAX(0,C53+C55)</f>
        <v>426254.879140532</v>
      </c>
    </row>
    <row r="58" customFormat="false" ht="15" hidden="false" customHeight="false" outlineLevel="0" collapsed="false">
      <c r="B58" s="69" t="s">
        <v>412</v>
      </c>
      <c r="C58" s="51"/>
      <c r="D58" s="51"/>
      <c r="E58" s="51"/>
    </row>
    <row r="59" customFormat="false" ht="15" hidden="false" customHeight="false" outlineLevel="0" collapsed="false">
      <c r="B59" s="49" t="s">
        <v>399</v>
      </c>
      <c r="C59" s="57" t="n">
        <f aca="false">E44</f>
        <v>89363.5613249703</v>
      </c>
    </row>
    <row r="60" customFormat="false" ht="15" hidden="false" customHeight="false" outlineLevel="0" collapsed="false">
      <c r="B60" s="49" t="s">
        <v>413</v>
      </c>
      <c r="C60" s="57" t="n">
        <f aca="false">C26*MIN(C47,C25)</f>
        <v>11439</v>
      </c>
      <c r="E60" s="19" t="s">
        <v>414</v>
      </c>
    </row>
    <row r="61" customFormat="false" ht="15" hidden="false" customHeight="false" outlineLevel="0" collapsed="false">
      <c r="B61" s="49" t="s">
        <v>415</v>
      </c>
      <c r="C61" s="57" t="n">
        <f aca="false">C27*C47</f>
        <v>2675.25</v>
      </c>
    </row>
    <row r="62" customFormat="false" ht="15" hidden="false" customHeight="false" outlineLevel="0" collapsed="false">
      <c r="B62" s="49" t="s">
        <v>416</v>
      </c>
      <c r="C62" s="57" t="n">
        <f aca="false">C28*MAX(0,C47+C49-C29)</f>
        <v>0</v>
      </c>
      <c r="E62" s="19" t="s">
        <v>417</v>
      </c>
    </row>
    <row r="63" customFormat="false" ht="15" hidden="false" customHeight="false" outlineLevel="0" collapsed="false">
      <c r="B63" s="49" t="s">
        <v>418</v>
      </c>
      <c r="C63" s="57" t="n">
        <f aca="false">C30*C56</f>
        <v>10656.3719785133</v>
      </c>
      <c r="E63" s="19" t="s">
        <v>419</v>
      </c>
    </row>
    <row r="64" customFormat="false" ht="15" hidden="false" customHeight="false" outlineLevel="0" collapsed="false">
      <c r="B64" s="58" t="s">
        <v>420</v>
      </c>
      <c r="C64" s="60" t="n">
        <f aca="false">SUM(C59:C63)</f>
        <v>114134.183303484</v>
      </c>
    </row>
    <row r="65" customFormat="false" ht="15" hidden="false" customHeight="false" outlineLevel="0" collapsed="false">
      <c r="B65" s="121" t="s">
        <v>421</v>
      </c>
      <c r="C65" s="122" t="n">
        <f aca="false">IF(C51=0,0,C64/C51)</f>
        <v>0.230287443905647</v>
      </c>
    </row>
    <row r="67" customFormat="false" ht="15" hidden="false" customHeight="false" outlineLevel="0" collapsed="false">
      <c r="B67" s="69" t="s">
        <v>422</v>
      </c>
      <c r="C67" s="51"/>
      <c r="D67" s="51"/>
      <c r="E67" s="51"/>
    </row>
    <row r="68" customFormat="false" ht="15" hidden="false" customHeight="false" outlineLevel="0" collapsed="false">
      <c r="B68" s="49" t="s">
        <v>401</v>
      </c>
      <c r="C68" s="57" t="n">
        <f aca="false">C47</f>
        <v>184500</v>
      </c>
    </row>
    <row r="69" customFormat="false" ht="15" hidden="false" customHeight="false" outlineLevel="0" collapsed="false">
      <c r="B69" s="49" t="s">
        <v>423</v>
      </c>
      <c r="C69" s="57" t="n">
        <f aca="false">C48</f>
        <v>311116.180230159</v>
      </c>
      <c r="E69" s="19" t="s">
        <v>424</v>
      </c>
    </row>
    <row r="70" customFormat="false" ht="15" hidden="false" customHeight="false" outlineLevel="0" collapsed="false">
      <c r="B70" s="61" t="s">
        <v>425</v>
      </c>
      <c r="C70" s="62" t="n">
        <f aca="false">C68+C69</f>
        <v>495616.180230159</v>
      </c>
    </row>
    <row r="71" customFormat="false" ht="15" hidden="false" customHeight="false" outlineLevel="0" collapsed="false">
      <c r="B71" s="49" t="s">
        <v>426</v>
      </c>
      <c r="C71" s="114" t="n">
        <f aca="false">-C64</f>
        <v>-114134.183303484</v>
      </c>
    </row>
    <row r="72" customFormat="false" ht="15" hidden="false" customHeight="false" outlineLevel="0" collapsed="false">
      <c r="B72" s="108" t="s">
        <v>427</v>
      </c>
      <c r="C72" s="109" t="n">
        <f aca="false">C70+C71</f>
        <v>381481.996926675</v>
      </c>
    </row>
    <row r="73" customFormat="false" ht="15" hidden="false" customHeight="false" outlineLevel="0" collapsed="false">
      <c r="B73" s="49" t="s">
        <v>428</v>
      </c>
      <c r="C73" s="57" t="n">
        <f aca="false">C59+C63</f>
        <v>100019.933303484</v>
      </c>
      <c r="E73" s="19" t="s">
        <v>429</v>
      </c>
    </row>
    <row r="74" customFormat="false" ht="15" hidden="false" customHeight="false" outlineLevel="0" collapsed="false">
      <c r="B74" s="49" t="s">
        <v>430</v>
      </c>
      <c r="C74" s="57" t="n">
        <f aca="false">C73/4</f>
        <v>25004.9833258709</v>
      </c>
      <c r="E74" s="19" t="s">
        <v>431</v>
      </c>
    </row>
    <row r="75" customFormat="false" ht="15" hidden="false" customHeight="false" outlineLevel="0" collapsed="false">
      <c r="B75" s="49" t="s">
        <v>432</v>
      </c>
      <c r="C75" s="57" t="n">
        <f aca="false">IF(C51=0,0,C73*C48/C51)</f>
        <v>62786.1253072978</v>
      </c>
      <c r="E75" s="19" t="s">
        <v>433</v>
      </c>
    </row>
    <row r="77" customFormat="false" ht="15" hidden="false" customHeight="false" outlineLevel="0" collapsed="false">
      <c r="B77" s="69" t="s">
        <v>434</v>
      </c>
      <c r="C77" s="51"/>
      <c r="D77" s="51"/>
      <c r="E77" s="51"/>
    </row>
    <row r="78" customFormat="false" ht="27.75" hidden="false" customHeight="true" outlineLevel="0" collapsed="false">
      <c r="B78" s="113" t="s">
        <v>435</v>
      </c>
      <c r="C78" s="113"/>
      <c r="D78" s="113"/>
      <c r="E78" s="113"/>
    </row>
    <row r="79" customFormat="false" ht="27.75" hidden="false" customHeight="true" outlineLevel="0" collapsed="false">
      <c r="B79" s="113" t="s">
        <v>436</v>
      </c>
      <c r="C79" s="113"/>
      <c r="D79" s="113"/>
      <c r="E79" s="113"/>
    </row>
    <row r="80" customFormat="false" ht="27.75" hidden="false" customHeight="true" outlineLevel="0" collapsed="false">
      <c r="B80" s="113" t="s">
        <v>437</v>
      </c>
      <c r="C80" s="113"/>
      <c r="D80" s="113"/>
      <c r="E80" s="113"/>
    </row>
    <row r="81" customFormat="false" ht="27.75" hidden="false" customHeight="true" outlineLevel="0" collapsed="false">
      <c r="B81" s="113" t="s">
        <v>438</v>
      </c>
      <c r="C81" s="113"/>
      <c r="D81" s="113"/>
      <c r="E81" s="113"/>
    </row>
    <row r="82" customFormat="false" ht="27.75" hidden="false" customHeight="true" outlineLevel="0" collapsed="false">
      <c r="B82" s="113" t="s">
        <v>439</v>
      </c>
      <c r="C82" s="113"/>
      <c r="D82" s="113"/>
      <c r="E82" s="113"/>
    </row>
  </sheetData>
  <mergeCells count="5">
    <mergeCell ref="B78:E78"/>
    <mergeCell ref="B79:E79"/>
    <mergeCell ref="B80:E80"/>
    <mergeCell ref="B81:E81"/>
    <mergeCell ref="B82:E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60"/>
  <sheetViews>
    <sheetView showFormulas="false" showGridLines="fals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22"/>
  </cols>
  <sheetData>
    <row r="2" customFormat="false" ht="21" hidden="false" customHeight="true" outlineLevel="0" collapsed="false">
      <c r="B2" s="123" t="s">
        <v>0</v>
      </c>
    </row>
    <row r="3" customFormat="false" ht="15" hidden="false" customHeight="true" outlineLevel="0" collapsed="false">
      <c r="B3" s="2" t="s">
        <v>440</v>
      </c>
    </row>
    <row r="4" customFormat="false" ht="14.25" hidden="false" customHeight="false" outlineLevel="0" collapsed="false">
      <c r="B4" s="19" t="s">
        <v>441</v>
      </c>
    </row>
    <row r="6" customFormat="false" ht="14.25" hidden="false" customHeight="false" outlineLevel="0" collapsed="false">
      <c r="B6" s="69" t="s">
        <v>442</v>
      </c>
      <c r="C6" s="51"/>
      <c r="D6" s="51"/>
    </row>
    <row r="7" customFormat="false" ht="25.5" hidden="false" customHeight="true" outlineLevel="0" collapsed="false">
      <c r="B7" s="124" t="s">
        <v>443</v>
      </c>
      <c r="C7" s="125" t="s">
        <v>444</v>
      </c>
      <c r="D7" s="125"/>
    </row>
    <row r="8" customFormat="false" ht="30" hidden="false" customHeight="true" outlineLevel="0" collapsed="false">
      <c r="B8" s="52" t="s">
        <v>445</v>
      </c>
      <c r="C8" s="125" t="s">
        <v>446</v>
      </c>
      <c r="D8" s="125"/>
    </row>
    <row r="9" customFormat="false" ht="30" hidden="false" customHeight="true" outlineLevel="0" collapsed="false">
      <c r="B9" s="52" t="s">
        <v>447</v>
      </c>
      <c r="C9" s="125" t="s">
        <v>448</v>
      </c>
      <c r="D9" s="125"/>
    </row>
    <row r="10" customFormat="false" ht="14.25" hidden="false" customHeight="false" outlineLevel="0" collapsed="false">
      <c r="B10" s="49"/>
      <c r="C10" s="49"/>
      <c r="D10" s="49"/>
    </row>
    <row r="11" customFormat="false" ht="14.25" hidden="false" customHeight="false" outlineLevel="0" collapsed="false">
      <c r="B11" s="69" t="s">
        <v>449</v>
      </c>
      <c r="C11" s="51"/>
      <c r="D11" s="51"/>
    </row>
    <row r="12" customFormat="false" ht="30" hidden="false" customHeight="true" outlineLevel="0" collapsed="false">
      <c r="B12" s="52" t="s">
        <v>450</v>
      </c>
      <c r="C12" s="125" t="s">
        <v>451</v>
      </c>
      <c r="D12" s="125"/>
    </row>
    <row r="13" customFormat="false" ht="30" hidden="false" customHeight="true" outlineLevel="0" collapsed="false">
      <c r="B13" s="52" t="s">
        <v>452</v>
      </c>
      <c r="C13" s="125" t="s">
        <v>453</v>
      </c>
      <c r="D13" s="125"/>
    </row>
    <row r="14" customFormat="false" ht="30" hidden="false" customHeight="true" outlineLevel="0" collapsed="false">
      <c r="B14" s="52" t="s">
        <v>454</v>
      </c>
      <c r="C14" s="125" t="s">
        <v>455</v>
      </c>
      <c r="D14" s="125"/>
    </row>
    <row r="15" customFormat="false" ht="30" hidden="false" customHeight="true" outlineLevel="0" collapsed="false">
      <c r="B15" s="52" t="s">
        <v>456</v>
      </c>
      <c r="C15" s="125" t="s">
        <v>457</v>
      </c>
      <c r="D15" s="125"/>
    </row>
    <row r="16" customFormat="false" ht="30" hidden="false" customHeight="true" outlineLevel="0" collapsed="false">
      <c r="B16" s="52" t="s">
        <v>458</v>
      </c>
      <c r="C16" s="125" t="s">
        <v>459</v>
      </c>
      <c r="D16" s="125"/>
    </row>
    <row r="17" customFormat="false" ht="30" hidden="false" customHeight="true" outlineLevel="0" collapsed="false">
      <c r="B17" s="52" t="s">
        <v>460</v>
      </c>
      <c r="C17" s="125" t="s">
        <v>461</v>
      </c>
      <c r="D17" s="125"/>
    </row>
    <row r="18" customFormat="false" ht="14.25" hidden="false" customHeight="false" outlineLevel="0" collapsed="false">
      <c r="B18" s="49"/>
      <c r="C18" s="49"/>
      <c r="D18" s="126"/>
    </row>
    <row r="19" customFormat="false" ht="14.25" hidden="false" customHeight="false" outlineLevel="0" collapsed="false">
      <c r="B19" s="69" t="s">
        <v>462</v>
      </c>
      <c r="C19" s="51"/>
      <c r="D19" s="127"/>
    </row>
    <row r="20" customFormat="false" ht="14.25" hidden="false" customHeight="false" outlineLevel="0" collapsed="false">
      <c r="B20" s="128" t="s">
        <v>463</v>
      </c>
      <c r="C20" s="49" t="s">
        <v>464</v>
      </c>
      <c r="D20" s="126"/>
    </row>
    <row r="21" customFormat="false" ht="14.25" hidden="false" customHeight="false" outlineLevel="0" collapsed="false">
      <c r="B21" s="124" t="s">
        <v>465</v>
      </c>
      <c r="C21" s="49" t="s">
        <v>466</v>
      </c>
      <c r="D21" s="129"/>
    </row>
    <row r="22" customFormat="false" ht="14.25" hidden="false" customHeight="false" outlineLevel="0" collapsed="false">
      <c r="B22" s="52" t="s">
        <v>467</v>
      </c>
      <c r="C22" s="49" t="s">
        <v>468</v>
      </c>
      <c r="D22" s="126"/>
    </row>
    <row r="23" customFormat="false" ht="14.25" hidden="false" customHeight="false" outlineLevel="0" collapsed="false">
      <c r="B23" s="130" t="s">
        <v>302</v>
      </c>
      <c r="C23" s="49" t="s">
        <v>469</v>
      </c>
      <c r="D23" s="126"/>
    </row>
    <row r="24" customFormat="false" ht="14.25" hidden="false" customHeight="false" outlineLevel="0" collapsed="false">
      <c r="B24" s="131" t="s">
        <v>303</v>
      </c>
      <c r="C24" s="49" t="s">
        <v>470</v>
      </c>
      <c r="D24" s="129"/>
    </row>
    <row r="25" customFormat="false" ht="14.25" hidden="false" customHeight="false" outlineLevel="0" collapsed="false">
      <c r="B25" s="49"/>
      <c r="C25" s="49"/>
      <c r="D25" s="126"/>
    </row>
    <row r="26" customFormat="false" ht="14.25" hidden="false" customHeight="false" outlineLevel="0" collapsed="false">
      <c r="B26" s="69" t="s">
        <v>471</v>
      </c>
      <c r="C26" s="51"/>
      <c r="D26" s="51"/>
    </row>
    <row r="27" customFormat="false" ht="14.25" hidden="false" customHeight="false" outlineLevel="0" collapsed="false">
      <c r="B27" s="49" t="s">
        <v>472</v>
      </c>
      <c r="C27" s="49"/>
      <c r="D27" s="132" t="n">
        <f aca="false">'Forecast 2026'!$N$13</f>
        <v>1229185.71873016</v>
      </c>
    </row>
    <row r="28" customFormat="false" ht="14.25" hidden="false" customHeight="false" outlineLevel="0" collapsed="false">
      <c r="B28" s="49" t="s">
        <v>473</v>
      </c>
      <c r="C28" s="49"/>
      <c r="D28" s="132" t="n">
        <f aca="false">'Forecast 2026'!$N$22</f>
        <v>627888.40225</v>
      </c>
    </row>
    <row r="29" customFormat="false" ht="14.25" hidden="false" customHeight="false" outlineLevel="0" collapsed="false">
      <c r="B29" s="49" t="s">
        <v>474</v>
      </c>
      <c r="C29" s="49"/>
      <c r="D29" s="132" t="n">
        <f aca="false">'Forecast 2026'!$N$23</f>
        <v>601297.316480159</v>
      </c>
    </row>
    <row r="30" customFormat="false" ht="14.25" hidden="false" customHeight="false" outlineLevel="0" collapsed="false">
      <c r="B30" s="49" t="s">
        <v>475</v>
      </c>
      <c r="C30" s="49"/>
      <c r="D30" s="132" t="n">
        <f aca="false">'Forecast 2026'!$N$43</f>
        <v>174233.457083333</v>
      </c>
    </row>
    <row r="31" customFormat="false" ht="14.25" hidden="false" customHeight="false" outlineLevel="0" collapsed="false">
      <c r="B31" s="52" t="s">
        <v>476</v>
      </c>
      <c r="C31" s="49"/>
      <c r="D31" s="132" t="n">
        <f aca="false">'Forecast 2026'!$N$44</f>
        <v>427063.859396826</v>
      </c>
    </row>
    <row r="32" customFormat="false" ht="14.25" hidden="false" customHeight="false" outlineLevel="0" collapsed="false">
      <c r="B32" s="49" t="s">
        <v>320</v>
      </c>
      <c r="C32" s="49"/>
      <c r="D32" s="133" t="n">
        <f aca="false">'Forecast 2026'!$N$45</f>
        <v>0.347436398657491</v>
      </c>
    </row>
    <row r="33" customFormat="false" ht="14.25" hidden="false" customHeight="false" outlineLevel="0" collapsed="false">
      <c r="B33" s="52" t="s">
        <v>477</v>
      </c>
      <c r="C33" s="49"/>
      <c r="D33" s="132" t="n">
        <f aca="false">'Forecast 2026'!$N$57</f>
        <v>290262.891480159</v>
      </c>
    </row>
    <row r="34" customFormat="false" ht="14.25" hidden="false" customHeight="false" outlineLevel="0" collapsed="false">
      <c r="B34" s="49" t="s">
        <v>478</v>
      </c>
      <c r="C34" s="49"/>
      <c r="D34" s="132" t="n">
        <f aca="false">Assumptions!$B$28</f>
        <v>184500</v>
      </c>
    </row>
    <row r="35" customFormat="false" ht="14.25" hidden="false" customHeight="false" outlineLevel="0" collapsed="false">
      <c r="B35" s="49" t="s">
        <v>479</v>
      </c>
      <c r="C35" s="49"/>
      <c r="D35" s="133" t="n">
        <f aca="false">Assumptions!$B$15</f>
        <v>1</v>
      </c>
    </row>
    <row r="36" customFormat="false" ht="14.25" hidden="false" customHeight="false" outlineLevel="0" collapsed="false">
      <c r="B36" s="49" t="s">
        <v>480</v>
      </c>
      <c r="C36" s="49"/>
      <c r="D36" s="133" t="n">
        <f aca="false">'Forecast 2026'!$C$5</f>
        <v>0.905110427708201</v>
      </c>
    </row>
    <row r="37" customFormat="false" ht="14.25" hidden="false" customHeight="false" outlineLevel="0" collapsed="false">
      <c r="B37" s="49" t="s">
        <v>481</v>
      </c>
      <c r="C37" s="49"/>
      <c r="D37" s="134" t="n">
        <f aca="false">'Monthly Capacity'!$N$11</f>
        <v>254</v>
      </c>
    </row>
    <row r="38" customFormat="false" ht="14.25" hidden="false" customHeight="false" outlineLevel="0" collapsed="false">
      <c r="B38" s="49"/>
      <c r="C38" s="49"/>
      <c r="D38" s="49"/>
    </row>
    <row r="39" customFormat="false" ht="14.25" hidden="false" customHeight="false" outlineLevel="0" collapsed="false">
      <c r="B39" s="69" t="s">
        <v>482</v>
      </c>
      <c r="C39" s="51"/>
      <c r="D39" s="51"/>
    </row>
    <row r="40" customFormat="false" ht="31.5" hidden="false" customHeight="true" outlineLevel="0" collapsed="false">
      <c r="B40" s="135" t="s">
        <v>483</v>
      </c>
      <c r="C40" s="136" t="s">
        <v>484</v>
      </c>
      <c r="D40" s="136"/>
    </row>
    <row r="41" customFormat="false" ht="31.5" hidden="false" customHeight="true" outlineLevel="0" collapsed="false">
      <c r="B41" s="135" t="s">
        <v>483</v>
      </c>
      <c r="C41" s="136" t="s">
        <v>485</v>
      </c>
      <c r="D41" s="136"/>
    </row>
    <row r="42" customFormat="false" ht="31.5" hidden="false" customHeight="true" outlineLevel="0" collapsed="false">
      <c r="B42" s="135" t="s">
        <v>483</v>
      </c>
      <c r="C42" s="136" t="s">
        <v>486</v>
      </c>
      <c r="D42" s="136"/>
    </row>
    <row r="43" customFormat="false" ht="31.5" hidden="false" customHeight="true" outlineLevel="0" collapsed="false">
      <c r="B43" s="135" t="s">
        <v>483</v>
      </c>
      <c r="C43" s="136" t="s">
        <v>487</v>
      </c>
      <c r="D43" s="136"/>
    </row>
    <row r="44" customFormat="false" ht="31.5" hidden="false" customHeight="true" outlineLevel="0" collapsed="false">
      <c r="B44" s="135" t="s">
        <v>483</v>
      </c>
      <c r="C44" s="136" t="s">
        <v>488</v>
      </c>
      <c r="D44" s="136"/>
    </row>
    <row r="45" customFormat="false" ht="31.5" hidden="false" customHeight="true" outlineLevel="0" collapsed="false">
      <c r="B45" s="135" t="s">
        <v>483</v>
      </c>
      <c r="C45" s="136" t="s">
        <v>489</v>
      </c>
      <c r="D45" s="136"/>
    </row>
    <row r="46" customFormat="false" ht="31.5" hidden="false" customHeight="true" outlineLevel="0" collapsed="false">
      <c r="B46" s="135" t="s">
        <v>483</v>
      </c>
      <c r="C46" s="136" t="s">
        <v>490</v>
      </c>
      <c r="D46" s="136"/>
    </row>
    <row r="47" customFormat="false" ht="31.5" hidden="false" customHeight="true" outlineLevel="0" collapsed="false">
      <c r="B47" s="135" t="s">
        <v>483</v>
      </c>
      <c r="C47" s="136" t="s">
        <v>491</v>
      </c>
      <c r="D47" s="136"/>
    </row>
    <row r="48" customFormat="false" ht="14.25" hidden="false" customHeight="false" outlineLevel="0" collapsed="false">
      <c r="B48" s="49"/>
      <c r="C48" s="49"/>
      <c r="D48" s="49"/>
    </row>
    <row r="49" customFormat="false" ht="14.25" hidden="false" customHeight="false" outlineLevel="0" collapsed="false">
      <c r="B49" s="49"/>
      <c r="C49" s="49"/>
      <c r="D49" s="49"/>
    </row>
    <row r="50" customFormat="false" ht="14.25" hidden="false" customHeight="false" outlineLevel="0" collapsed="false">
      <c r="B50" s="49"/>
      <c r="C50" s="49"/>
      <c r="D50" s="49"/>
    </row>
    <row r="51" customFormat="false" ht="14.25" hidden="false" customHeight="false" outlineLevel="0" collapsed="false">
      <c r="B51" s="49"/>
      <c r="C51" s="49"/>
      <c r="D51" s="49"/>
    </row>
    <row r="52" customFormat="false" ht="14.25" hidden="false" customHeight="false" outlineLevel="0" collapsed="false">
      <c r="B52" s="49"/>
      <c r="C52" s="49"/>
      <c r="D52" s="49"/>
    </row>
    <row r="53" customFormat="false" ht="14.25" hidden="false" customHeight="false" outlineLevel="0" collapsed="false">
      <c r="B53" s="49"/>
      <c r="C53" s="49"/>
      <c r="D53" s="49"/>
    </row>
    <row r="54" customFormat="false" ht="14.25" hidden="false" customHeight="false" outlineLevel="0" collapsed="false">
      <c r="B54" s="49"/>
      <c r="C54" s="49"/>
      <c r="D54" s="49"/>
    </row>
    <row r="55" customFormat="false" ht="14.25" hidden="false" customHeight="false" outlineLevel="0" collapsed="false">
      <c r="B55" s="49"/>
      <c r="C55" s="49"/>
      <c r="D55" s="49"/>
    </row>
    <row r="56" customFormat="false" ht="14.25" hidden="false" customHeight="false" outlineLevel="0" collapsed="false">
      <c r="B56" s="49"/>
      <c r="C56" s="49"/>
      <c r="D56" s="49"/>
    </row>
    <row r="57" customFormat="false" ht="14.25" hidden="false" customHeight="false" outlineLevel="0" collapsed="false">
      <c r="B57" s="49"/>
      <c r="C57" s="49"/>
      <c r="D57" s="49"/>
    </row>
    <row r="58" customFormat="false" ht="14.25" hidden="false" customHeight="false" outlineLevel="0" collapsed="false">
      <c r="B58" s="49"/>
      <c r="C58" s="49"/>
      <c r="D58" s="49"/>
    </row>
    <row r="59" customFormat="false" ht="14.25" hidden="false" customHeight="false" outlineLevel="0" collapsed="false">
      <c r="B59" s="49"/>
      <c r="C59" s="49"/>
      <c r="D59" s="49"/>
    </row>
    <row r="60" customFormat="false" ht="14.25" hidden="false" customHeight="false" outlineLevel="0" collapsed="false">
      <c r="B60" s="49"/>
      <c r="C60" s="49"/>
      <c r="D60" s="49"/>
    </row>
  </sheetData>
  <mergeCells count="17">
    <mergeCell ref="C7:D7"/>
    <mergeCell ref="C8:D8"/>
    <mergeCell ref="C9:D9"/>
    <mergeCell ref="C12:D12"/>
    <mergeCell ref="C13:D13"/>
    <mergeCell ref="C14:D14"/>
    <mergeCell ref="C15:D15"/>
    <mergeCell ref="C16:D16"/>
    <mergeCell ref="C17:D17"/>
    <mergeCell ref="C40:D40"/>
    <mergeCell ref="C41:D41"/>
    <mergeCell ref="C42:D42"/>
    <mergeCell ref="C43:D43"/>
    <mergeCell ref="C44:D44"/>
    <mergeCell ref="C45:D45"/>
    <mergeCell ref="C46:D46"/>
    <mergeCell ref="C47:D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>Steven Nikolov</cp:lastModifiedBy>
  <dcterms:modified xsi:type="dcterms:W3CDTF">2026-08-07T23:09:02Z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