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Bill Rates" sheetId="2" state="visible" r:id="rId4"/>
    <sheet name="Assumptions" sheetId="3" state="visible" r:id="rId5"/>
    <sheet name="Staff P&amp;L" sheetId="4" state="visible" r:id="rId6"/>
    <sheet name="Budget P&amp;L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Owner salary = SS max (Assumptions). 50% client / 50% admin.</t>
        </r>
      </text>
    </comment>
    <comment ref="D7" authorId="0">
      <text>
        <r>
          <rPr>
            <sz val="10"/>
            <rFont val="Arial"/>
            <family val="2"/>
          </rPr>
          <t xml:space="preserve">Cost Sheet: $176,000/yr.</t>
        </r>
      </text>
    </comment>
    <comment ref="D8" authorId="0">
      <text>
        <r>
          <rPr>
            <sz val="10"/>
            <rFont val="Arial"/>
            <family val="2"/>
          </rPr>
          <t xml:space="preserve">Cost Sheet: $60/hr × 1,680 paid hrs/yr.</t>
        </r>
      </text>
    </comment>
    <comment ref="D9" authorId="0">
      <text>
        <r>
          <rPr>
            <sz val="10"/>
            <rFont val="Arial"/>
            <family val="2"/>
          </rPr>
          <t xml:space="preserve">Cost Sheet: $35/hr × 1,680 paid hrs/yr.</t>
        </r>
      </text>
    </comment>
    <comment ref="D10" authorId="0">
      <text>
        <r>
          <rPr>
            <sz val="10"/>
            <rFont val="Arial"/>
            <family val="2"/>
          </rPr>
          <t xml:space="preserve">Bulgaria all-in $3,892.70/mo (Cost Sheet). Contractor — no US payroll tax or PEO.</t>
        </r>
      </text>
    </comment>
    <comment ref="D11" authorId="0">
      <text>
        <r>
          <rPr>
            <sz val="10"/>
            <rFont val="Arial"/>
            <family val="2"/>
          </rPr>
          <t xml:space="preserve">Cost Sheet: $80,000/yr admin. COGS alloc % = her billable share (adjust).</t>
        </r>
      </text>
    </comment>
    <comment ref="F10" authorId="0">
      <text>
        <r>
          <rPr>
            <sz val="10"/>
            <rFont val="Arial"/>
            <family val="2"/>
          </rPr>
          <t xml:space="preserve">Contractor — no US employer payroll tax.</t>
        </r>
      </text>
    </comment>
    <comment ref="K6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7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8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9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  <comment ref="K10" authorId="0">
      <text>
        <r>
          <rPr>
            <sz val="10"/>
            <rFont val="Arial"/>
            <family val="2"/>
          </rPr>
          <t xml:space="preserve">Contractor — benefits in all-in cost.</t>
        </r>
      </text>
    </comment>
    <comment ref="K11" authorId="0">
      <text>
        <r>
          <rPr>
            <sz val="10"/>
            <rFont val="Arial"/>
            <family val="2"/>
          </rPr>
          <t xml:space="preserve">PEO placeholder — replace with insurance + 401(k) quote.</t>
        </r>
      </text>
    </comment>
  </commentList>
</comments>
</file>

<file path=xl/sharedStrings.xml><?xml version="1.0" encoding="utf-8"?>
<sst xmlns="http://schemas.openxmlformats.org/spreadsheetml/2006/main" count="298" uniqueCount="270">
  <si>
    <t xml:space="preserve">Onyx Accounting Group, LLC</t>
  </si>
  <si>
    <t xml:space="preserve">Firm Budget &amp; Forecast — 2026</t>
  </si>
  <si>
    <t xml:space="preserve">Built 2026-07-24  •  All figures are annualized run-rate unless a month is overridden</t>
  </si>
  <si>
    <t xml:space="preserve">HOW THIS WORKBOOK WORKS</t>
  </si>
  <si>
    <t xml:space="preserve">Tab 1 — Bill Rates</t>
  </si>
  <si>
    <t xml:space="preserve">Average 2026 bill rate per client for CFO / Controller / Staff, with the blended firm average that drives the model.</t>
  </si>
  <si>
    <t xml:space="preserve">Tab 2 — Assumptions</t>
  </si>
  <si>
    <t xml:space="preserve">Every lever in one place: hours, PTO/holidays, utilization, employer tax rates, owner comp, benefits.</t>
  </si>
  <si>
    <t xml:space="preserve">Tab 3 — Staff P&amp;L</t>
  </si>
  <si>
    <t xml:space="preserve">Pay rate + full labor burden (AZ/US employer tax + PEO benefits) → loaded hourly cost, billable hours, and gross profit per staff member.</t>
  </si>
  <si>
    <t xml:space="preserve">Tab 4 — Budget P&amp;L (QBO)</t>
  </si>
  <si>
    <t xml:space="preserve">Monthly revenue, COGS, operating expenses and Net Income in your QuickBooks P&amp;L layout. Owner salary set to the Social Security wage-base max.</t>
  </si>
  <si>
    <t xml:space="preserve">COLOR LEGEND</t>
  </si>
  <si>
    <t xml:space="preserve">Blue text on yellow</t>
  </si>
  <si>
    <t xml:space="preserve">Input you can change (assumptions &amp; levers)</t>
  </si>
  <si>
    <t xml:space="preserve">Green text</t>
  </si>
  <si>
    <t xml:space="preserve">Pulled from another tab</t>
  </si>
  <si>
    <t xml:space="preserve">Black text</t>
  </si>
  <si>
    <t xml:space="preserve">Calculated formula — do not type over</t>
  </si>
  <si>
    <t xml:space="preserve">KEY OUTPUTS (annual, 2026 run-rate)</t>
  </si>
  <si>
    <t xml:space="preserve">Total revenue</t>
  </si>
  <si>
    <t xml:space="preserve">Total COGS</t>
  </si>
  <si>
    <t xml:space="preserve">Gross profit</t>
  </si>
  <si>
    <t xml:space="preserve">Gross margin</t>
  </si>
  <si>
    <t xml:space="preserve">Total operating expenses</t>
  </si>
  <si>
    <t xml:space="preserve">Net income</t>
  </si>
  <si>
    <t xml:space="preserve">Net margin</t>
  </si>
  <si>
    <t xml:space="preserve">Owner salary (Steven, = SS max)</t>
  </si>
  <si>
    <t xml:space="preserve">SOURCES &amp; POLICY NOTES</t>
  </si>
  <si>
    <t xml:space="preserve">•</t>
  </si>
  <si>
    <t xml:space="preserve">Bill rates: Clients Billing Rates Master Sheet 2026 (blended average of 42 priced clients).</t>
  </si>
  <si>
    <t xml:space="preserve">Salaries / pay: Cost Sheet.xlsx. Steven $184,500 = 2026 Social Security wage-base max.</t>
  </si>
  <si>
    <t xml:space="preserve">Valentina: Bulgaria all-in $3,892.70/mo (Cost Sheet 'Bulgaria Costs' tab) — treated as contractor, no US payroll tax.</t>
  </si>
  <si>
    <t xml:space="preserve">PTO: 80 hrs/yr (2 weeks) — Onyx Handbook, 'Paid Time Off'.</t>
  </si>
  <si>
    <t xml:space="preserve">Holidays: 7 paid days = 56 hrs/yr — Onyx Handbook, 'Paid Holidays' (New Year's, Memorial, Independence, Labor, Thanksgiving, Christmas Eve, Christmas Day).</t>
  </si>
  <si>
    <t xml:space="preserve">Benefits: per-employee monthly $ input on Staff P&amp;L (placeholder $800/mo) — replace with PEO quote for insurance + 401(k).</t>
  </si>
  <si>
    <t xml:space="preserve">OpEx defaults = H1-2026 monthly average from the QBO P&amp;L (one-time $30k reimbursement excluded). Review before finalizing.</t>
  </si>
  <si>
    <t xml:space="preserve">Average Bill Rates by Client — 2026</t>
  </si>
  <si>
    <t xml:space="preserve">2026 standard rates per client. Blue cells are editable. The blended average at the bottom drives the model (Assumptions tab).</t>
  </si>
  <si>
    <t xml:space="preserve">Client Group</t>
  </si>
  <si>
    <t xml:space="preserve">Client / Entity</t>
  </si>
  <si>
    <t xml:space="preserve">CFO</t>
  </si>
  <si>
    <t xml:space="preserve">Controller</t>
  </si>
  <si>
    <t xml:space="preserve">Staff</t>
  </si>
  <si>
    <t xml:space="preserve">Mohrschladt Entities</t>
  </si>
  <si>
    <t xml:space="preserve">1402 Victory Lane LLC</t>
  </si>
  <si>
    <t xml:space="preserve">3540 E  Boot Track, LLC</t>
  </si>
  <si>
    <t xml:space="preserve">4530 W. Flint, LLC</t>
  </si>
  <si>
    <t xml:space="preserve">7327 Tierra Buena LLC</t>
  </si>
  <si>
    <t xml:space="preserve">15650 Northsight LLC</t>
  </si>
  <si>
    <t xml:space="preserve">Barrett Living Trust</t>
  </si>
  <si>
    <t xml:space="preserve">Catalpa Industrial Park, Inc.</t>
  </si>
  <si>
    <t xml:space="preserve">Mohrschladt Capital, LP</t>
  </si>
  <si>
    <t xml:space="preserve">Mohrschladt Howarth Associates, Inc.</t>
  </si>
  <si>
    <t xml:space="preserve">NEWPORT CLASSIC CARS LLC</t>
  </si>
  <si>
    <t xml:space="preserve">Obsidian Real Estate</t>
  </si>
  <si>
    <t xml:space="preserve">Paradise Village LLC</t>
  </si>
  <si>
    <t xml:space="preserve">Rancho Industrial Park, Inc.</t>
  </si>
  <si>
    <t xml:space="preserve">Tavasci Entities</t>
  </si>
  <si>
    <t xml:space="preserve">7730 Evans, LLC</t>
  </si>
  <si>
    <t xml:space="preserve">909 Main, LLC</t>
  </si>
  <si>
    <t xml:space="preserve">Capital Financial, LLC</t>
  </si>
  <si>
    <t xml:space="preserve">DQCC</t>
  </si>
  <si>
    <t xml:space="preserve">Educational Services, LLC</t>
  </si>
  <si>
    <t xml:space="preserve">Educational Services Holdings LLC</t>
  </si>
  <si>
    <t xml:space="preserve">KAMM ADGT</t>
  </si>
  <si>
    <t xml:space="preserve">Tavasci Personal</t>
  </si>
  <si>
    <t xml:space="preserve">Edcuational Services Intermediate, LLC</t>
  </si>
  <si>
    <t xml:space="preserve">International Alliance Group LLC</t>
  </si>
  <si>
    <t xml:space="preserve">Little Moo's</t>
  </si>
  <si>
    <t xml:space="preserve">T5 Family Holdings, LLC</t>
  </si>
  <si>
    <t xml:space="preserve">Tavasci Brothers Motorsports</t>
  </si>
  <si>
    <t xml:space="preserve">TSCC54, LLC</t>
  </si>
  <si>
    <t xml:space="preserve">VVI 1017</t>
  </si>
  <si>
    <t xml:space="preserve">VVNS</t>
  </si>
  <si>
    <t xml:space="preserve">BeckShar</t>
  </si>
  <si>
    <t xml:space="preserve">BeckShar Development</t>
  </si>
  <si>
    <t xml:space="preserve">BeckShar LLC</t>
  </si>
  <si>
    <t xml:space="preserve">BeckShar Diamond Commercial</t>
  </si>
  <si>
    <t xml:space="preserve">BSD Contracting LLC</t>
  </si>
  <si>
    <t xml:space="preserve">Midwest</t>
  </si>
  <si>
    <t xml:space="preserve">Midwest Contracting, Inc</t>
  </si>
  <si>
    <t xml:space="preserve">Eight Eleven</t>
  </si>
  <si>
    <t xml:space="preserve">Southwest Rentals</t>
  </si>
  <si>
    <t xml:space="preserve">Individual Clients</t>
  </si>
  <si>
    <t xml:space="preserve">1915 NORTH 16TH STREET, LLC</t>
  </si>
  <si>
    <t xml:space="preserve">Amerisource</t>
  </si>
  <si>
    <t xml:space="preserve">Bjerk Builders</t>
  </si>
  <si>
    <t xml:space="preserve">Broadcast Rentals</t>
  </si>
  <si>
    <t xml:space="preserve">Emmi D SalonSpa, LLC.</t>
  </si>
  <si>
    <t xml:space="preserve">Foothills Reserve</t>
  </si>
  <si>
    <t xml:space="preserve">Fountain Hills Golf Carts</t>
  </si>
  <si>
    <t xml:space="preserve">GAV Enterprises, Inc</t>
  </si>
  <si>
    <t xml:space="preserve">Kartes Leasing </t>
  </si>
  <si>
    <t xml:space="preserve">Monark Sports</t>
  </si>
  <si>
    <t xml:space="preserve">Mountain Trade Supply, Inc</t>
  </si>
  <si>
    <t xml:space="preserve">Preferred Renovations</t>
  </si>
  <si>
    <t xml:space="preserve">Prestige Arms Worldwide</t>
  </si>
  <si>
    <t xml:space="preserve">Prime Solar USA</t>
  </si>
  <si>
    <t xml:space="preserve">Return Textiles</t>
  </si>
  <si>
    <t xml:space="preserve">SW Art Glass</t>
  </si>
  <si>
    <t xml:space="preserve">Young Wealth Management</t>
  </si>
  <si>
    <t xml:space="preserve">Blended Average — 2026 (drives model)</t>
  </si>
  <si>
    <t xml:space="preserve">Priced clients in average: =COUNT(C6:C58)</t>
  </si>
  <si>
    <t xml:space="preserve">Assumptions &amp; Drivers</t>
  </si>
  <si>
    <t xml:space="preserve">Change any yellow cell to re-forecast the whole model.</t>
  </si>
  <si>
    <t xml:space="preserve">TIME &amp; UTILIZATION</t>
  </si>
  <si>
    <t xml:space="preserve">Hours per week</t>
  </si>
  <si>
    <t xml:space="preserve">Firm standard schedule</t>
  </si>
  <si>
    <t xml:space="preserve">Weeks per month</t>
  </si>
  <si>
    <t xml:space="preserve">35 × 4 = monthly working hours</t>
  </si>
  <si>
    <t xml:space="preserve">Gross working hours per month</t>
  </si>
  <si>
    <t xml:space="preserve">140 hrs/mo (35 × 4)</t>
  </si>
  <si>
    <t xml:space="preserve">Non-billable admin hours per month</t>
  </si>
  <si>
    <t xml:space="preserve">Per your spec</t>
  </si>
  <si>
    <t xml:space="preserve">Billable-eligible hours per month</t>
  </si>
  <si>
    <t xml:space="preserve">120 hrs/mo before PTO/holiday</t>
  </si>
  <si>
    <t xml:space="preserve">PTO hours per year</t>
  </si>
  <si>
    <t xml:space="preserve">2 weeks — Onyx Handbook</t>
  </si>
  <si>
    <t xml:space="preserve">Paid holiday hours per year</t>
  </si>
  <si>
    <t xml:space="preserve">7 holidays × 8 hrs — Onyx Handbook</t>
  </si>
  <si>
    <t xml:space="preserve">PTO + holiday per month</t>
  </si>
  <si>
    <t xml:space="preserve">spread evenly across the year</t>
  </si>
  <si>
    <t xml:space="preserve">Available billable hrs / mo (100% util)</t>
  </si>
  <si>
    <t xml:space="preserve">approx 108.7 hrs/mo for a full biller</t>
  </si>
  <si>
    <t xml:space="preserve">Utilization %</t>
  </si>
  <si>
    <t xml:space="preserve">Dial down to model realistic utilization</t>
  </si>
  <si>
    <t xml:space="preserve">Paid hours per year (full-time)</t>
  </si>
  <si>
    <t xml:space="preserve">1,680 — basis for hourly pay &amp; loaded hourly cost</t>
  </si>
  <si>
    <t xml:space="preserve">EMPLOYER PAYROLL TAXES  (AZ / US)</t>
  </si>
  <si>
    <t xml:space="preserve">Social Security — employer rate</t>
  </si>
  <si>
    <t xml:space="preserve">FICA OASDI, capped at wage base</t>
  </si>
  <si>
    <t xml:space="preserve">Social Security wage base (2026)</t>
  </si>
  <si>
    <t xml:space="preserve">2026 SSA max</t>
  </si>
  <si>
    <t xml:space="preserve">Medicare — employer rate</t>
  </si>
  <si>
    <t xml:space="preserve">Uncapped</t>
  </si>
  <si>
    <t xml:space="preserve">FUTA rate</t>
  </si>
  <si>
    <t xml:space="preserve">Federal unemployment (net)</t>
  </si>
  <si>
    <t xml:space="preserve">FUTA wage base</t>
  </si>
  <si>
    <t xml:space="preserve">First $7,000 of wages</t>
  </si>
  <si>
    <t xml:space="preserve">AZ SUTA rate</t>
  </si>
  <si>
    <t xml:space="preserve">Arizona unemployment — set to your rate</t>
  </si>
  <si>
    <t xml:space="preserve">AZ SUTA wage base</t>
  </si>
  <si>
    <t xml:space="preserve">First $8,000 of wages (AZ 2026)</t>
  </si>
  <si>
    <t xml:space="preserve">OWNER COMPENSATION</t>
  </si>
  <si>
    <t xml:space="preserve">Owner (Steven) annual salary</t>
  </si>
  <si>
    <t xml:space="preserve">Set to Social Security wage-base max</t>
  </si>
  <si>
    <t xml:space="preserve">Owner client (billable) share</t>
  </si>
  <si>
    <t xml:space="preserve">50% client / 50% admin per your split</t>
  </si>
  <si>
    <t xml:space="preserve">Owner admin (overhead) share</t>
  </si>
  <si>
    <t xml:space="preserve">flows to Operating Expenses</t>
  </si>
  <si>
    <t xml:space="preserve">BLENDED BILL RATES — 2026  (from Bill Rates tab)</t>
  </si>
  <si>
    <t xml:space="preserve">CFO average bill rate</t>
  </si>
  <si>
    <t xml:space="preserve">Steven, Lisa</t>
  </si>
  <si>
    <t xml:space="preserve">Controller average bill rate</t>
  </si>
  <si>
    <t xml:space="preserve">Cindi</t>
  </si>
  <si>
    <t xml:space="preserve">Staff average bill rate</t>
  </si>
  <si>
    <t xml:space="preserve">Christine, Valentina, Josephine</t>
  </si>
  <si>
    <t xml:space="preserve">Staff P&amp;L — Pay, Labor Burden &amp; Gross Profit per Person</t>
  </si>
  <si>
    <t xml:space="preserve">Blue = input.  Loaded hourly cost = full burden (pay + AZ/US tax + PEO benefits) ÷ paid hours. Gross profit = billable revenue − COGS-allocated cost.</t>
  </si>
  <si>
    <t xml:space="preserve">COMPENSATION  &amp;  EMPLOYER BURDEN</t>
  </si>
  <si>
    <t xml:space="preserve">HOURS,  REVENUE  &amp;  GROSS PROFIT</t>
  </si>
  <si>
    <t xml:space="preserve">Employee</t>
  </si>
  <si>
    <t xml:space="preserve">Role</t>
  </si>
  <si>
    <t xml:space="preserve">Pay basis</t>
  </si>
  <si>
    <t xml:space="preserve">Pay rate /
salary</t>
  </si>
  <si>
    <t xml:space="preserve">Base annual
comp</t>
  </si>
  <si>
    <t xml:space="preserve">Empl. SS</t>
  </si>
  <si>
    <t xml:space="preserve">Empl.
Medicare</t>
  </si>
  <si>
    <t xml:space="preserve">FUTA</t>
  </si>
  <si>
    <t xml:space="preserve">AZ SUTA</t>
  </si>
  <si>
    <t xml:space="preserve">Total empl.
tax</t>
  </si>
  <si>
    <t xml:space="preserve">PEO benefits
$/mo</t>
  </si>
  <si>
    <t xml:space="preserve">Benefits
annual</t>
  </si>
  <si>
    <t xml:space="preserve">Fully-loaded
annual cost</t>
  </si>
  <si>
    <t xml:space="preserve">Loaded
cost /mo</t>
  </si>
  <si>
    <t xml:space="preserve">Loaded
cost /hr</t>
  </si>
  <si>
    <t xml:space="preserve">Billable hrs
/mo (pre-PTO)</t>
  </si>
  <si>
    <t xml:space="preserve">Net billable
hrs /mo</t>
  </si>
  <si>
    <t xml:space="preserve">Bill
rate</t>
  </si>
  <si>
    <t xml:space="preserve">Revenue
/mo</t>
  </si>
  <si>
    <t xml:space="preserve">COGS
alloc %</t>
  </si>
  <si>
    <t xml:space="preserve">COGS cost
/mo</t>
  </si>
  <si>
    <t xml:space="preserve">OpEx cost
/mo</t>
  </si>
  <si>
    <t xml:space="preserve">Gross profit
/mo</t>
  </si>
  <si>
    <t xml:space="preserve">GP
margin</t>
  </si>
  <si>
    <t xml:space="preserve">Steven Nikolov</t>
  </si>
  <si>
    <t xml:space="preserve">Salary (owner)</t>
  </si>
  <si>
    <t xml:space="preserve">Lisa Danforth</t>
  </si>
  <si>
    <t xml:space="preserve">Salary</t>
  </si>
  <si>
    <t xml:space="preserve">Cindi Campbell</t>
  </si>
  <si>
    <t xml:space="preserve">Hourly</t>
  </si>
  <si>
    <t xml:space="preserve">Christine Johnson</t>
  </si>
  <si>
    <t xml:space="preserve">Valentina Dikova</t>
  </si>
  <si>
    <t xml:space="preserve">Contractor (BG)</t>
  </si>
  <si>
    <t xml:space="preserve">Josephine Mack</t>
  </si>
  <si>
    <t xml:space="preserve">Admin/Staff</t>
  </si>
  <si>
    <t xml:space="preserve">TOTAL / FIRM</t>
  </si>
  <si>
    <t xml:space="preserve">Reading a row:</t>
  </si>
  <si>
    <t xml:space="preserve">Base annual comp + employer taxes + PEO benefits = fully-loaded annual cost.  ÷ 1,680 paid hrs = loaded cost/hr.</t>
  </si>
  <si>
    <t xml:space="preserve">Net billable hrs/mo = (pre-PTO hrs − PTO&amp;holiday/mo) × utilization.  Revenue/mo = net billable hrs × blended bill rate.</t>
  </si>
  <si>
    <t xml:space="preserve">COGS alloc % = share of the person's cost that is client production (COGS); the rest is admin/owner overhead (Operating Expenses).</t>
  </si>
  <si>
    <t xml:space="preserve">Budget — Profit and Loss (QuickBooks format)</t>
  </si>
  <si>
    <t xml:space="preserve">January–December 2026 (Forecast)</t>
  </si>
  <si>
    <t xml:space="preserve">Each month = steady-state run-rate; type over any month cell to override. Green = from Staff P&amp;L; blue = input.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</si>
  <si>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</si>
  <si>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</si>
  <si>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</si>
  <si>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</si>
  <si>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</si>
  <si>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</si>
  <si>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</si>
  <si>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</si>
  <si>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</si>
  <si>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</si>
  <si>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</si>
  <si>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</si>
  <si>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Total</t>
  </si>
  <si>
    <t xml:space="preserve">Income</t>
  </si>
  <si>
    <t xml:space="preserve">    Billable Expense Income</t>
  </si>
  <si>
    <t xml:space="preserve">Reimbursed client expenses — input</t>
  </si>
  <si>
    <t xml:space="preserve">    Sales</t>
  </si>
  <si>
    <t xml:space="preserve">Σ billable revenue, all staff (Staff P&amp;L)</t>
  </si>
  <si>
    <t xml:space="preserve">Total for Income</t>
  </si>
  <si>
    <t xml:space="preserve">Cost of Goods Sold</t>
  </si>
  <si>
    <t xml:space="preserve">    Cost of labor - Contractors</t>
  </si>
  <si>
    <t xml:space="preserve">Valentina (Bulgaria all-in)</t>
  </si>
  <si>
    <t xml:space="preserve">    Filing Fees</t>
  </si>
  <si>
    <t xml:space="preserve">H1-26 avg ≈ $28/mo</t>
  </si>
  <si>
    <t xml:space="preserve">    Payroll Expenses</t>
  </si>
  <si>
    <t xml:space="preserve">        Discretionary Bonuses</t>
  </si>
  <si>
    <t xml:space="preserve">Input</t>
  </si>
  <si>
    <t xml:space="preserve">        Holiday Pay</t>
  </si>
  <si>
    <t xml:space="preserve">0 — embedded in annual wages</t>
  </si>
  <si>
    <t xml:space="preserve">        Wages</t>
  </si>
  <si>
    <t xml:space="preserve">Production staff, COGS-allocated</t>
  </si>
  <si>
    <t xml:space="preserve">        Payroll Taxes</t>
  </si>
  <si>
    <t xml:space="preserve">Employer AZ/US tax on COGS wages</t>
  </si>
  <si>
    <t xml:space="preserve">        Benefits - PEO</t>
  </si>
  <si>
    <t xml:space="preserve">PEO insurance/401k, COGS-allocated</t>
  </si>
  <si>
    <t xml:space="preserve">Total for Payroll Expenses</t>
  </si>
  <si>
    <t xml:space="preserve">Total for Cost of Goods Sold</t>
  </si>
  <si>
    <t xml:space="preserve">Gross Profit</t>
  </si>
  <si>
    <t xml:space="preserve">Expenses</t>
  </si>
  <si>
    <t xml:space="preserve">    Owner Compensation (Steven, admin 50%)</t>
  </si>
  <si>
    <t xml:space="preserve">Owner salary, admin share</t>
  </si>
  <si>
    <t xml:space="preserve">    Admin Salary (Josephine)</t>
  </si>
  <si>
    <t xml:space="preserve">Admin share of $80k</t>
  </si>
  <si>
    <t xml:space="preserve">    Admin Payroll Taxes</t>
  </si>
  <si>
    <t xml:space="preserve">    Admin Benefits - PEO</t>
  </si>
  <si>
    <t xml:space="preserve">    Advertising &amp; Marketing</t>
  </si>
  <si>
    <t xml:space="preserve">H1-26 monthly avg — review</t>
  </si>
  <si>
    <t xml:space="preserve">    Bank Charges &amp; Fees</t>
  </si>
  <si>
    <t xml:space="preserve">    Dues &amp; subscriptions</t>
  </si>
  <si>
    <t xml:space="preserve">    Insurance</t>
  </si>
  <si>
    <t xml:space="preserve">    Legal &amp; Professional Services</t>
  </si>
  <si>
    <t xml:space="preserve">    Meals &amp; Entertainment</t>
  </si>
  <si>
    <t xml:space="preserve">    Office Supplies &amp; Software</t>
  </si>
  <si>
    <t xml:space="preserve">    QuickBooks Payments Fees</t>
  </si>
  <si>
    <t xml:space="preserve">    Reimbursements</t>
  </si>
  <si>
    <t xml:space="preserve">    Rent &amp; Lease</t>
  </si>
  <si>
    <t xml:space="preserve">    Website</t>
  </si>
  <si>
    <t xml:space="preserve">Total for Expenses</t>
  </si>
  <si>
    <t xml:space="preserve">Net Operating Income</t>
  </si>
  <si>
    <t xml:space="preserve">Net Income</t>
  </si>
  <si>
    <t xml:space="preserve">LABOR BURDEN — LOADED COST PER HOUR (from Staff P&amp;L)</t>
  </si>
  <si>
    <t xml:space="preserve">Loaded $/yr</t>
  </si>
  <si>
    <t xml:space="preserve">Loaded $/mo</t>
  </si>
  <si>
    <t xml:space="preserve">Loaded $/hr</t>
  </si>
  <si>
    <t xml:space="preserve">Bill rate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</si>
</sst>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"/>
    <numFmt numFmtId="167" formatCode="\$#,##0.00;&quot;($&quot;#,##0.00\);\-"/>
    <numFmt numFmtId="168" formatCode="General"/>
    <numFmt numFmtId="169" formatCode="#,##0"/>
    <numFmt numFmtId="170" formatCode="#,##0.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80808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i val="true"/>
      <sz val="10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D9E1F2"/>
      </patternFill>
    </fill>
    <fill>
      <patternFill patternType="solid">
        <fgColor rgb="FFF2F2F2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808080"/>
      </top>
      <bottom/>
      <diagonal/>
    </border>
    <border diagonalUp="false" diagonalDown="false">
      <left/>
      <right/>
      <top style="medium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22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 t="s">
        <v>3</v>
      </c>
      <c r="C6" s="5"/>
      <c r="D6" s="5"/>
    </row>
    <row r="7" customFormat="false" ht="30" hidden="false" customHeight="true" outlineLevel="0" collapsed="false">
      <c r="B7" s="6" t="s">
        <v>4</v>
      </c>
      <c r="C7" s="7" t="s">
        <v>5</v>
      </c>
      <c r="D7" s="7"/>
    </row>
    <row r="8" customFormat="false" ht="30" hidden="false" customHeight="true" outlineLevel="0" collapsed="false">
      <c r="B8" s="6" t="s">
        <v>6</v>
      </c>
      <c r="C8" s="7" t="s">
        <v>7</v>
      </c>
      <c r="D8" s="7"/>
    </row>
    <row r="9" customFormat="false" ht="30" hidden="false" customHeight="true" outlineLevel="0" collapsed="false">
      <c r="B9" s="6" t="s">
        <v>8</v>
      </c>
      <c r="C9" s="7" t="s">
        <v>9</v>
      </c>
      <c r="D9" s="7"/>
    </row>
    <row r="10" customFormat="false" ht="30" hidden="false" customHeight="true" outlineLevel="0" collapsed="false">
      <c r="B10" s="6" t="s">
        <v>10</v>
      </c>
      <c r="C10" s="7" t="s">
        <v>11</v>
      </c>
      <c r="D10" s="7"/>
    </row>
    <row r="12" customFormat="false" ht="15" hidden="false" customHeight="false" outlineLevel="0" collapsed="false">
      <c r="B12" s="4" t="s">
        <v>12</v>
      </c>
      <c r="C12" s="5"/>
      <c r="D12" s="5"/>
    </row>
    <row r="13" customFormat="false" ht="15" hidden="false" customHeight="false" outlineLevel="0" collapsed="false">
      <c r="B13" s="8" t="s">
        <v>13</v>
      </c>
      <c r="C13" s="9" t="s">
        <v>14</v>
      </c>
    </row>
    <row r="14" customFormat="false" ht="15" hidden="false" customHeight="false" outlineLevel="0" collapsed="false">
      <c r="B14" s="10" t="s">
        <v>15</v>
      </c>
      <c r="C14" s="9" t="s">
        <v>16</v>
      </c>
    </row>
    <row r="15" customFormat="false" ht="15" hidden="false" customHeight="false" outlineLevel="0" collapsed="false">
      <c r="B15" s="6" t="s">
        <v>17</v>
      </c>
      <c r="C15" s="9" t="s">
        <v>18</v>
      </c>
    </row>
    <row r="17" customFormat="false" ht="15" hidden="false" customHeight="false" outlineLevel="0" collapsed="false">
      <c r="B17" s="4" t="s">
        <v>19</v>
      </c>
      <c r="C17" s="5"/>
      <c r="D17" s="5"/>
    </row>
    <row r="18" customFormat="false" ht="15" hidden="false" customHeight="false" outlineLevel="0" collapsed="false">
      <c r="B18" s="9" t="s">
        <v>20</v>
      </c>
      <c r="D18" s="11" t="n">
        <f aca="false">'Budget P&amp;L'!$N$10</f>
        <v>962943.333333333</v>
      </c>
    </row>
    <row r="19" customFormat="false" ht="15" hidden="false" customHeight="false" outlineLevel="0" collapsed="false">
      <c r="B19" s="9" t="s">
        <v>21</v>
      </c>
      <c r="D19" s="11" t="n">
        <f aca="false">'Budget P&amp;L'!$N$21</f>
        <v>556329.985</v>
      </c>
    </row>
    <row r="20" customFormat="false" ht="15" hidden="false" customHeight="false" outlineLevel="0" collapsed="false">
      <c r="B20" s="9" t="s">
        <v>22</v>
      </c>
      <c r="D20" s="11" t="n">
        <f aca="false">'Budget P&amp;L'!$N$22</f>
        <v>406613.348333333</v>
      </c>
    </row>
    <row r="21" customFormat="false" ht="15" hidden="false" customHeight="false" outlineLevel="0" collapsed="false">
      <c r="B21" s="9" t="s">
        <v>23</v>
      </c>
      <c r="D21" s="12" t="n">
        <f aca="false">IF('Budget P&amp;L'!$N$10=0,0,'Budget P&amp;L'!$N$22/'Budget P&amp;L'!$N$10)</f>
        <v>0.422260930895899</v>
      </c>
    </row>
    <row r="22" customFormat="false" ht="15" hidden="false" customHeight="false" outlineLevel="0" collapsed="false">
      <c r="B22" s="9" t="s">
        <v>24</v>
      </c>
      <c r="D22" s="11" t="n">
        <f aca="false">'Budget P&amp;L'!$N$39</f>
        <v>263681.345</v>
      </c>
    </row>
    <row r="23" customFormat="false" ht="15" hidden="false" customHeight="false" outlineLevel="0" collapsed="false">
      <c r="B23" s="9" t="s">
        <v>25</v>
      </c>
      <c r="D23" s="11" t="n">
        <f aca="false">'Budget P&amp;L'!$N$41</f>
        <v>142932.003333333</v>
      </c>
    </row>
    <row r="24" customFormat="false" ht="15" hidden="false" customHeight="false" outlineLevel="0" collapsed="false">
      <c r="B24" s="9" t="s">
        <v>26</v>
      </c>
      <c r="D24" s="12" t="n">
        <f aca="false">IF('Budget P&amp;L'!$N$10=0,0,'Budget P&amp;L'!$N$41/'Budget P&amp;L'!$N$10)</f>
        <v>0.148432413814589</v>
      </c>
    </row>
    <row r="25" customFormat="false" ht="15" hidden="false" customHeight="false" outlineLevel="0" collapsed="false">
      <c r="B25" s="9" t="s">
        <v>27</v>
      </c>
      <c r="D25" s="11" t="n">
        <f aca="false">Assumptions!$B$28</f>
        <v>184500</v>
      </c>
    </row>
    <row r="27" customFormat="false" ht="15" hidden="false" customHeight="false" outlineLevel="0" collapsed="false">
      <c r="B27" s="4" t="s">
        <v>28</v>
      </c>
      <c r="C27" s="5"/>
      <c r="D27" s="5"/>
    </row>
    <row r="28" customFormat="false" ht="25.5" hidden="false" customHeight="true" outlineLevel="0" collapsed="false">
      <c r="B28" s="13" t="s">
        <v>29</v>
      </c>
      <c r="C28" s="14" t="s">
        <v>30</v>
      </c>
      <c r="D28" s="14"/>
    </row>
    <row r="29" customFormat="false" ht="25.5" hidden="false" customHeight="true" outlineLevel="0" collapsed="false">
      <c r="B29" s="13" t="s">
        <v>29</v>
      </c>
      <c r="C29" s="14" t="s">
        <v>31</v>
      </c>
      <c r="D29" s="14"/>
    </row>
    <row r="30" customFormat="false" ht="25.5" hidden="false" customHeight="true" outlineLevel="0" collapsed="false">
      <c r="B30" s="13" t="s">
        <v>29</v>
      </c>
      <c r="C30" s="14" t="s">
        <v>32</v>
      </c>
      <c r="D30" s="14"/>
    </row>
    <row r="31" customFormat="false" ht="25.5" hidden="false" customHeight="true" outlineLevel="0" collapsed="false">
      <c r="B31" s="13" t="s">
        <v>29</v>
      </c>
      <c r="C31" s="14" t="s">
        <v>33</v>
      </c>
      <c r="D31" s="14"/>
    </row>
    <row r="32" customFormat="false" ht="25.5" hidden="false" customHeight="true" outlineLevel="0" collapsed="false">
      <c r="B32" s="13" t="s">
        <v>29</v>
      </c>
      <c r="C32" s="14" t="s">
        <v>34</v>
      </c>
      <c r="D32" s="14"/>
    </row>
    <row r="33" customFormat="false" ht="25.5" hidden="false" customHeight="true" outlineLevel="0" collapsed="false">
      <c r="B33" s="13" t="s">
        <v>29</v>
      </c>
      <c r="C33" s="14" t="s">
        <v>35</v>
      </c>
      <c r="D33" s="14"/>
    </row>
    <row r="34" customFormat="false" ht="25.5" hidden="false" customHeight="true" outlineLevel="0" collapsed="false">
      <c r="B34" s="13" t="s">
        <v>29</v>
      </c>
      <c r="C34" s="14" t="s">
        <v>36</v>
      </c>
      <c r="D34" s="14"/>
    </row>
  </sheetData>
  <mergeCells count="11">
    <mergeCell ref="C7:D7"/>
    <mergeCell ref="C8:D8"/>
    <mergeCell ref="C9:D9"/>
    <mergeCell ref="C10:D10"/>
    <mergeCell ref="C28:D28"/>
    <mergeCell ref="C29:D29"/>
    <mergeCell ref="C30:D30"/>
    <mergeCell ref="C31:D31"/>
    <mergeCell ref="C32:D32"/>
    <mergeCell ref="C33:D33"/>
    <mergeCell ref="C34:D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5" min="3" style="0" width="13"/>
  </cols>
  <sheetData>
    <row r="1" customFormat="false" ht="17.35" hidden="false" customHeight="false" outlineLevel="0" collapsed="false">
      <c r="A1" s="15" t="s">
        <v>0</v>
      </c>
    </row>
    <row r="2" customFormat="false" ht="15" hidden="false" customHeight="false" outlineLevel="0" collapsed="false">
      <c r="A2" s="2" t="s">
        <v>37</v>
      </c>
    </row>
    <row r="3" customFormat="false" ht="15" hidden="false" customHeight="false" outlineLevel="0" collapsed="false">
      <c r="A3" s="3" t="s">
        <v>38</v>
      </c>
    </row>
    <row r="5" customFormat="false" ht="15" hidden="false" customHeight="false" outlineLevel="0" collapsed="false">
      <c r="A5" s="16" t="s">
        <v>39</v>
      </c>
      <c r="B5" s="16" t="s">
        <v>40</v>
      </c>
      <c r="C5" s="17" t="s">
        <v>41</v>
      </c>
      <c r="D5" s="17" t="s">
        <v>42</v>
      </c>
      <c r="E5" s="17" t="s">
        <v>43</v>
      </c>
    </row>
    <row r="6" customFormat="false" ht="15" hidden="false" customHeight="false" outlineLevel="0" collapsed="false">
      <c r="A6" s="18" t="s">
        <v>44</v>
      </c>
      <c r="B6" s="19" t="s">
        <v>45</v>
      </c>
      <c r="C6" s="20" t="n">
        <v>250</v>
      </c>
      <c r="D6" s="20" t="n">
        <v>145</v>
      </c>
      <c r="E6" s="20" t="n">
        <v>95</v>
      </c>
    </row>
    <row r="7" customFormat="false" ht="15" hidden="false" customHeight="false" outlineLevel="0" collapsed="false">
      <c r="A7" s="19"/>
      <c r="B7" s="19" t="s">
        <v>46</v>
      </c>
      <c r="C7" s="20" t="n">
        <v>250</v>
      </c>
      <c r="D7" s="20" t="n">
        <v>145</v>
      </c>
      <c r="E7" s="20" t="n">
        <v>95</v>
      </c>
    </row>
    <row r="8" customFormat="false" ht="15" hidden="false" customHeight="false" outlineLevel="0" collapsed="false">
      <c r="A8" s="19"/>
      <c r="B8" s="19" t="s">
        <v>47</v>
      </c>
      <c r="C8" s="20" t="n">
        <v>250</v>
      </c>
      <c r="D8" s="20" t="n">
        <v>145</v>
      </c>
      <c r="E8" s="20" t="n">
        <v>95</v>
      </c>
    </row>
    <row r="9" customFormat="false" ht="15" hidden="false" customHeight="false" outlineLevel="0" collapsed="false">
      <c r="A9" s="19"/>
      <c r="B9" s="19" t="s">
        <v>48</v>
      </c>
      <c r="C9" s="20" t="n">
        <v>250</v>
      </c>
      <c r="D9" s="20" t="n">
        <v>145</v>
      </c>
      <c r="E9" s="20" t="n">
        <v>95</v>
      </c>
    </row>
    <row r="10" customFormat="false" ht="15" hidden="false" customHeight="false" outlineLevel="0" collapsed="false">
      <c r="A10" s="19"/>
      <c r="B10" s="19" t="s">
        <v>49</v>
      </c>
      <c r="C10" s="20" t="n">
        <v>250</v>
      </c>
      <c r="D10" s="20" t="n">
        <v>145</v>
      </c>
      <c r="E10" s="20" t="n">
        <v>95</v>
      </c>
    </row>
    <row r="11" customFormat="false" ht="15" hidden="false" customHeight="false" outlineLevel="0" collapsed="false">
      <c r="A11" s="19"/>
      <c r="B11" s="19" t="s">
        <v>50</v>
      </c>
      <c r="C11" s="20" t="n">
        <v>250</v>
      </c>
      <c r="D11" s="20" t="n">
        <v>145</v>
      </c>
      <c r="E11" s="20" t="n">
        <v>95</v>
      </c>
    </row>
    <row r="12" customFormat="false" ht="15" hidden="false" customHeight="false" outlineLevel="0" collapsed="false">
      <c r="A12" s="19"/>
      <c r="B12" s="19" t="s">
        <v>51</v>
      </c>
      <c r="C12" s="20" t="n">
        <v>250</v>
      </c>
      <c r="D12" s="20" t="n">
        <v>145</v>
      </c>
      <c r="E12" s="20" t="n">
        <v>95</v>
      </c>
    </row>
    <row r="13" customFormat="false" ht="15" hidden="false" customHeight="false" outlineLevel="0" collapsed="false">
      <c r="A13" s="19"/>
      <c r="B13" s="19" t="s">
        <v>52</v>
      </c>
      <c r="C13" s="20" t="n">
        <v>250</v>
      </c>
      <c r="D13" s="20" t="n">
        <v>145</v>
      </c>
      <c r="E13" s="20" t="n">
        <v>95</v>
      </c>
    </row>
    <row r="14" customFormat="false" ht="15" hidden="false" customHeight="false" outlineLevel="0" collapsed="false">
      <c r="A14" s="19"/>
      <c r="B14" s="19" t="s">
        <v>53</v>
      </c>
      <c r="C14" s="20" t="n">
        <v>250</v>
      </c>
      <c r="D14" s="20" t="n">
        <v>145</v>
      </c>
      <c r="E14" s="20" t="n">
        <v>95</v>
      </c>
    </row>
    <row r="15" customFormat="false" ht="15" hidden="false" customHeight="false" outlineLevel="0" collapsed="false">
      <c r="A15" s="19"/>
      <c r="B15" s="19" t="s">
        <v>54</v>
      </c>
      <c r="C15" s="20" t="n">
        <v>250</v>
      </c>
      <c r="D15" s="20" t="n">
        <v>145</v>
      </c>
      <c r="E15" s="20" t="n">
        <v>95</v>
      </c>
    </row>
    <row r="16" customFormat="false" ht="15" hidden="false" customHeight="false" outlineLevel="0" collapsed="false">
      <c r="A16" s="19"/>
      <c r="B16" s="19" t="s">
        <v>55</v>
      </c>
      <c r="C16" s="20" t="n">
        <v>250</v>
      </c>
      <c r="D16" s="20" t="n">
        <v>145</v>
      </c>
      <c r="E16" s="20" t="n">
        <v>95</v>
      </c>
    </row>
    <row r="17" customFormat="false" ht="15" hidden="false" customHeight="false" outlineLevel="0" collapsed="false">
      <c r="A17" s="19"/>
      <c r="B17" s="19" t="s">
        <v>56</v>
      </c>
      <c r="C17" s="20" t="n">
        <v>250</v>
      </c>
      <c r="D17" s="20" t="n">
        <v>145</v>
      </c>
      <c r="E17" s="20" t="n">
        <v>95</v>
      </c>
    </row>
    <row r="18" customFormat="false" ht="15" hidden="false" customHeight="false" outlineLevel="0" collapsed="false">
      <c r="A18" s="19"/>
      <c r="B18" s="19" t="s">
        <v>57</v>
      </c>
      <c r="C18" s="20" t="n">
        <v>250</v>
      </c>
      <c r="D18" s="20" t="n">
        <v>145</v>
      </c>
      <c r="E18" s="20" t="n">
        <v>95</v>
      </c>
    </row>
    <row r="19" customFormat="false" ht="15" hidden="false" customHeight="false" outlineLevel="0" collapsed="false">
      <c r="A19" s="18" t="s">
        <v>58</v>
      </c>
      <c r="B19" s="19" t="s">
        <v>59</v>
      </c>
      <c r="C19" s="20" t="n">
        <v>250</v>
      </c>
      <c r="D19" s="20" t="n">
        <v>145</v>
      </c>
      <c r="E19" s="20" t="n">
        <v>95</v>
      </c>
    </row>
    <row r="20" customFormat="false" ht="15" hidden="false" customHeight="false" outlineLevel="0" collapsed="false">
      <c r="A20" s="19"/>
      <c r="B20" s="19" t="s">
        <v>60</v>
      </c>
      <c r="C20" s="20" t="n">
        <v>250</v>
      </c>
      <c r="D20" s="20" t="n">
        <v>145</v>
      </c>
      <c r="E20" s="20" t="n">
        <v>95</v>
      </c>
    </row>
    <row r="21" customFormat="false" ht="15" hidden="false" customHeight="false" outlineLevel="0" collapsed="false">
      <c r="A21" s="19"/>
      <c r="B21" s="19" t="s">
        <v>61</v>
      </c>
      <c r="C21" s="20" t="n">
        <v>250</v>
      </c>
      <c r="D21" s="20" t="n">
        <v>145</v>
      </c>
      <c r="E21" s="20" t="n">
        <v>95</v>
      </c>
    </row>
    <row r="22" customFormat="false" ht="15" hidden="false" customHeight="false" outlineLevel="0" collapsed="false">
      <c r="A22" s="19"/>
      <c r="B22" s="19" t="s">
        <v>62</v>
      </c>
      <c r="C22" s="20" t="n">
        <v>250</v>
      </c>
      <c r="D22" s="20" t="n">
        <v>145</v>
      </c>
      <c r="E22" s="20" t="n">
        <v>95</v>
      </c>
    </row>
    <row r="23" customFormat="false" ht="15" hidden="false" customHeight="false" outlineLevel="0" collapsed="false">
      <c r="A23" s="19"/>
      <c r="B23" s="19" t="s">
        <v>63</v>
      </c>
      <c r="C23" s="20" t="n">
        <v>250</v>
      </c>
      <c r="D23" s="20" t="n">
        <v>145</v>
      </c>
      <c r="E23" s="20" t="n">
        <v>95</v>
      </c>
    </row>
    <row r="24" customFormat="false" ht="15" hidden="false" customHeight="false" outlineLevel="0" collapsed="false">
      <c r="A24" s="19"/>
      <c r="B24" s="19" t="s">
        <v>64</v>
      </c>
      <c r="C24" s="20" t="n">
        <v>250</v>
      </c>
      <c r="D24" s="20" t="n">
        <v>145</v>
      </c>
      <c r="E24" s="20" t="n">
        <v>95</v>
      </c>
    </row>
    <row r="25" customFormat="false" ht="15" hidden="false" customHeight="false" outlineLevel="0" collapsed="false">
      <c r="A25" s="19"/>
      <c r="B25" s="19" t="s">
        <v>65</v>
      </c>
      <c r="C25" s="20" t="n">
        <v>250</v>
      </c>
      <c r="D25" s="20" t="n">
        <v>145</v>
      </c>
      <c r="E25" s="20" t="n">
        <v>95</v>
      </c>
    </row>
    <row r="26" customFormat="false" ht="15" hidden="false" customHeight="false" outlineLevel="0" collapsed="false">
      <c r="A26" s="19"/>
      <c r="B26" s="19" t="s">
        <v>66</v>
      </c>
      <c r="C26" s="20" t="n">
        <v>250</v>
      </c>
      <c r="D26" s="20" t="n">
        <v>145</v>
      </c>
      <c r="E26" s="20" t="n">
        <v>95</v>
      </c>
    </row>
    <row r="27" customFormat="false" ht="15" hidden="false" customHeight="false" outlineLevel="0" collapsed="false">
      <c r="A27" s="19"/>
      <c r="B27" s="19" t="s">
        <v>67</v>
      </c>
      <c r="C27" s="20" t="n">
        <v>250</v>
      </c>
      <c r="D27" s="20" t="n">
        <v>145</v>
      </c>
      <c r="E27" s="20" t="n">
        <v>95</v>
      </c>
    </row>
    <row r="28" customFormat="false" ht="15" hidden="false" customHeight="false" outlineLevel="0" collapsed="false">
      <c r="A28" s="19"/>
      <c r="B28" s="19" t="s">
        <v>68</v>
      </c>
      <c r="C28" s="20" t="n">
        <v>250</v>
      </c>
      <c r="D28" s="20" t="n">
        <v>145</v>
      </c>
      <c r="E28" s="20" t="n">
        <v>95</v>
      </c>
    </row>
    <row r="29" customFormat="false" ht="15" hidden="false" customHeight="false" outlineLevel="0" collapsed="false">
      <c r="A29" s="19"/>
      <c r="B29" s="19" t="s">
        <v>69</v>
      </c>
      <c r="C29" s="20" t="n">
        <v>250</v>
      </c>
      <c r="D29" s="20" t="n">
        <v>145</v>
      </c>
      <c r="E29" s="20" t="n">
        <v>95</v>
      </c>
    </row>
    <row r="30" customFormat="false" ht="15" hidden="false" customHeight="false" outlineLevel="0" collapsed="false">
      <c r="A30" s="19"/>
      <c r="B30" s="19" t="s">
        <v>70</v>
      </c>
      <c r="C30" s="20" t="n">
        <v>250</v>
      </c>
      <c r="D30" s="20" t="n">
        <v>145</v>
      </c>
      <c r="E30" s="20" t="n">
        <v>95</v>
      </c>
    </row>
    <row r="31" customFormat="false" ht="15" hidden="false" customHeight="false" outlineLevel="0" collapsed="false">
      <c r="A31" s="19"/>
      <c r="B31" s="19" t="s">
        <v>71</v>
      </c>
      <c r="C31" s="20" t="n">
        <v>250</v>
      </c>
      <c r="D31" s="20" t="n">
        <v>145</v>
      </c>
      <c r="E31" s="20" t="n">
        <v>95</v>
      </c>
    </row>
    <row r="32" customFormat="false" ht="15" hidden="false" customHeight="false" outlineLevel="0" collapsed="false">
      <c r="A32" s="19"/>
      <c r="B32" s="19" t="s">
        <v>72</v>
      </c>
      <c r="C32" s="20" t="n">
        <v>250</v>
      </c>
      <c r="D32" s="20" t="n">
        <v>145</v>
      </c>
      <c r="E32" s="20" t="n">
        <v>95</v>
      </c>
    </row>
    <row r="33" customFormat="false" ht="15" hidden="false" customHeight="false" outlineLevel="0" collapsed="false">
      <c r="A33" s="19"/>
      <c r="B33" s="19" t="s">
        <v>73</v>
      </c>
      <c r="C33" s="20" t="n">
        <v>250</v>
      </c>
      <c r="D33" s="20" t="n">
        <v>145</v>
      </c>
      <c r="E33" s="20" t="n">
        <v>95</v>
      </c>
    </row>
    <row r="34" customFormat="false" ht="15" hidden="false" customHeight="false" outlineLevel="0" collapsed="false">
      <c r="A34" s="19"/>
      <c r="B34" s="19" t="s">
        <v>74</v>
      </c>
      <c r="C34" s="20" t="n">
        <v>250</v>
      </c>
      <c r="D34" s="20" t="n">
        <v>145</v>
      </c>
      <c r="E34" s="20" t="n">
        <v>95</v>
      </c>
    </row>
    <row r="35" customFormat="false" ht="15" hidden="false" customHeight="false" outlineLevel="0" collapsed="false">
      <c r="A35" s="18" t="s">
        <v>75</v>
      </c>
      <c r="B35" s="19" t="s">
        <v>76</v>
      </c>
      <c r="C35" s="20" t="n">
        <v>250</v>
      </c>
      <c r="D35" s="20" t="n">
        <v>175</v>
      </c>
      <c r="E35" s="20" t="n">
        <v>100</v>
      </c>
    </row>
    <row r="36" customFormat="false" ht="15" hidden="false" customHeight="false" outlineLevel="0" collapsed="false">
      <c r="A36" s="19"/>
      <c r="B36" s="19" t="s">
        <v>77</v>
      </c>
      <c r="C36" s="19"/>
      <c r="D36" s="19"/>
      <c r="E36" s="19"/>
    </row>
    <row r="37" customFormat="false" ht="15" hidden="false" customHeight="false" outlineLevel="0" collapsed="false">
      <c r="A37" s="19"/>
      <c r="B37" s="19" t="s">
        <v>78</v>
      </c>
      <c r="C37" s="19"/>
      <c r="D37" s="19"/>
      <c r="E37" s="19"/>
    </row>
    <row r="38" customFormat="false" ht="15" hidden="false" customHeight="false" outlineLevel="0" collapsed="false">
      <c r="A38" s="19"/>
      <c r="B38" s="19" t="s">
        <v>79</v>
      </c>
      <c r="C38" s="19"/>
      <c r="D38" s="19"/>
      <c r="E38" s="19"/>
    </row>
    <row r="39" customFormat="false" ht="15" hidden="false" customHeight="false" outlineLevel="0" collapsed="false">
      <c r="A39" s="18" t="s">
        <v>80</v>
      </c>
      <c r="B39" s="19" t="s">
        <v>81</v>
      </c>
      <c r="C39" s="20" t="n">
        <v>250</v>
      </c>
      <c r="D39" s="20" t="n">
        <v>185</v>
      </c>
      <c r="E39" s="20" t="n">
        <v>100</v>
      </c>
    </row>
    <row r="40" customFormat="false" ht="15" hidden="false" customHeight="false" outlineLevel="0" collapsed="false">
      <c r="A40" s="19"/>
      <c r="B40" s="19" t="s">
        <v>82</v>
      </c>
      <c r="C40" s="19"/>
      <c r="D40" s="19"/>
      <c r="E40" s="19"/>
    </row>
    <row r="41" customFormat="false" ht="15" hidden="false" customHeight="false" outlineLevel="0" collapsed="false">
      <c r="A41" s="19"/>
      <c r="B41" s="19" t="s">
        <v>83</v>
      </c>
      <c r="C41" s="19"/>
      <c r="D41" s="19"/>
      <c r="E41" s="19"/>
    </row>
    <row r="42" customFormat="false" ht="15" hidden="false" customHeight="false" outlineLevel="0" collapsed="false">
      <c r="A42" s="18" t="s">
        <v>84</v>
      </c>
      <c r="B42" s="19" t="s">
        <v>85</v>
      </c>
      <c r="C42" s="19"/>
      <c r="D42" s="19"/>
      <c r="E42" s="19"/>
    </row>
    <row r="43" customFormat="false" ht="15" hidden="false" customHeight="false" outlineLevel="0" collapsed="false">
      <c r="A43" s="19"/>
      <c r="B43" s="19" t="s">
        <v>86</v>
      </c>
      <c r="C43" s="20" t="n">
        <v>250</v>
      </c>
      <c r="D43" s="20" t="n">
        <v>145</v>
      </c>
      <c r="E43" s="20" t="n">
        <v>95</v>
      </c>
    </row>
    <row r="44" customFormat="false" ht="15" hidden="false" customHeight="false" outlineLevel="0" collapsed="false">
      <c r="A44" s="19"/>
      <c r="B44" s="19" t="s">
        <v>87</v>
      </c>
      <c r="C44" s="20" t="n">
        <v>250</v>
      </c>
      <c r="D44" s="20" t="n">
        <v>195</v>
      </c>
      <c r="E44" s="20" t="n">
        <v>105</v>
      </c>
    </row>
    <row r="45" customFormat="false" ht="15" hidden="false" customHeight="false" outlineLevel="0" collapsed="false">
      <c r="A45" s="19"/>
      <c r="B45" s="19" t="s">
        <v>88</v>
      </c>
      <c r="C45" s="20" t="n">
        <v>250</v>
      </c>
      <c r="D45" s="20" t="n">
        <v>160</v>
      </c>
      <c r="E45" s="20" t="n">
        <v>95</v>
      </c>
    </row>
    <row r="46" customFormat="false" ht="15" hidden="false" customHeight="false" outlineLevel="0" collapsed="false">
      <c r="A46" s="19"/>
      <c r="B46" s="19" t="s">
        <v>89</v>
      </c>
      <c r="C46" s="19"/>
      <c r="D46" s="19"/>
      <c r="E46" s="19"/>
    </row>
    <row r="47" customFormat="false" ht="15" hidden="false" customHeight="false" outlineLevel="0" collapsed="false">
      <c r="A47" s="19"/>
      <c r="B47" s="19" t="s">
        <v>90</v>
      </c>
      <c r="C47" s="19"/>
      <c r="D47" s="19"/>
      <c r="E47" s="19"/>
    </row>
    <row r="48" customFormat="false" ht="15" hidden="false" customHeight="false" outlineLevel="0" collapsed="false">
      <c r="A48" s="19"/>
      <c r="B48" s="19" t="s">
        <v>91</v>
      </c>
      <c r="C48" s="19"/>
      <c r="D48" s="19"/>
      <c r="E48" s="19"/>
    </row>
    <row r="49" customFormat="false" ht="15" hidden="false" customHeight="false" outlineLevel="0" collapsed="false">
      <c r="A49" s="19"/>
      <c r="B49" s="19" t="s">
        <v>92</v>
      </c>
      <c r="C49" s="20" t="n">
        <v>250</v>
      </c>
      <c r="D49" s="20" t="n">
        <v>175</v>
      </c>
      <c r="E49" s="20" t="n">
        <v>95</v>
      </c>
    </row>
    <row r="50" customFormat="false" ht="15" hidden="false" customHeight="false" outlineLevel="0" collapsed="false">
      <c r="A50" s="19"/>
      <c r="B50" s="19" t="s">
        <v>93</v>
      </c>
      <c r="C50" s="20" t="n">
        <v>250</v>
      </c>
      <c r="D50" s="20" t="n">
        <v>150</v>
      </c>
      <c r="E50" s="20" t="n">
        <v>95</v>
      </c>
    </row>
    <row r="51" customFormat="false" ht="15" hidden="false" customHeight="false" outlineLevel="0" collapsed="false">
      <c r="A51" s="19"/>
      <c r="B51" s="19" t="s">
        <v>94</v>
      </c>
      <c r="C51" s="19"/>
      <c r="D51" s="19"/>
      <c r="E51" s="19"/>
    </row>
    <row r="52" customFormat="false" ht="15" hidden="false" customHeight="false" outlineLevel="0" collapsed="false">
      <c r="A52" s="19"/>
      <c r="B52" s="19" t="s">
        <v>95</v>
      </c>
      <c r="C52" s="19"/>
      <c r="D52" s="19"/>
      <c r="E52" s="19"/>
    </row>
    <row r="53" customFormat="false" ht="15" hidden="false" customHeight="false" outlineLevel="0" collapsed="false">
      <c r="A53" s="19"/>
      <c r="B53" s="19" t="s">
        <v>96</v>
      </c>
      <c r="C53" s="20" t="n">
        <v>250</v>
      </c>
      <c r="D53" s="20" t="n">
        <v>175</v>
      </c>
      <c r="E53" s="20" t="n">
        <v>95</v>
      </c>
    </row>
    <row r="54" customFormat="false" ht="15" hidden="false" customHeight="false" outlineLevel="0" collapsed="false">
      <c r="A54" s="19"/>
      <c r="B54" s="19" t="s">
        <v>97</v>
      </c>
      <c r="C54" s="20" t="n">
        <v>225</v>
      </c>
      <c r="D54" s="20" t="n">
        <v>150</v>
      </c>
      <c r="E54" s="20" t="n">
        <v>95</v>
      </c>
    </row>
    <row r="55" customFormat="false" ht="15" hidden="false" customHeight="false" outlineLevel="0" collapsed="false">
      <c r="A55" s="19"/>
      <c r="B55" s="19" t="s">
        <v>98</v>
      </c>
      <c r="C55" s="20" t="n">
        <v>250</v>
      </c>
      <c r="D55" s="20" t="n">
        <v>185</v>
      </c>
      <c r="E55" s="20" t="n">
        <v>110</v>
      </c>
    </row>
    <row r="56" customFormat="false" ht="15" hidden="false" customHeight="false" outlineLevel="0" collapsed="false">
      <c r="A56" s="19"/>
      <c r="B56" s="19" t="s">
        <v>99</v>
      </c>
      <c r="C56" s="20" t="n">
        <v>250</v>
      </c>
      <c r="D56" s="20" t="n">
        <v>185</v>
      </c>
      <c r="E56" s="20" t="n">
        <v>115</v>
      </c>
    </row>
    <row r="57" customFormat="false" ht="15" hidden="false" customHeight="false" outlineLevel="0" collapsed="false">
      <c r="A57" s="19"/>
      <c r="B57" s="19" t="s">
        <v>100</v>
      </c>
      <c r="C57" s="20" t="n">
        <v>250</v>
      </c>
      <c r="D57" s="20" t="n">
        <v>175</v>
      </c>
      <c r="E57" s="20" t="n">
        <v>95</v>
      </c>
    </row>
    <row r="58" customFormat="false" ht="15" hidden="false" customHeight="false" outlineLevel="0" collapsed="false">
      <c r="A58" s="19"/>
      <c r="B58" s="19" t="s">
        <v>101</v>
      </c>
      <c r="C58" s="20" t="n">
        <v>250</v>
      </c>
      <c r="D58" s="20" t="n">
        <v>175</v>
      </c>
      <c r="E58" s="20" t="n">
        <v>95</v>
      </c>
    </row>
    <row r="60" customFormat="false" ht="15" hidden="false" customHeight="false" outlineLevel="0" collapsed="false">
      <c r="A60" s="21"/>
      <c r="B60" s="22" t="s">
        <v>102</v>
      </c>
      <c r="C60" s="23" t="n">
        <f aca="false">AVERAGE(C6:C58)</f>
        <v>249.404761904762</v>
      </c>
      <c r="D60" s="23" t="n">
        <f aca="false">AVERAGE(D6:D58)</f>
        <v>153.214285714286</v>
      </c>
      <c r="E60" s="23" t="n">
        <f aca="false">AVERAGE(E6:E58)</f>
        <v>96.3095238095238</v>
      </c>
    </row>
    <row r="61" customFormat="false" ht="15" hidden="false" customHeight="false" outlineLevel="0" collapsed="false">
      <c r="B61" s="3" t="s">
        <v>103</v>
      </c>
      <c r="C61" s="24" t="n">
        <f aca="false">COUNT(C6:C58)</f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52"/>
  </cols>
  <sheetData>
    <row r="1" customFormat="false" ht="17.35" hidden="false" customHeight="false" outlineLevel="0" collapsed="false">
      <c r="A1" s="15" t="s">
        <v>0</v>
      </c>
    </row>
    <row r="2" customFormat="false" ht="15" hidden="false" customHeight="false" outlineLevel="0" collapsed="false">
      <c r="A2" s="2" t="s">
        <v>104</v>
      </c>
    </row>
    <row r="3" customFormat="false" ht="15" hidden="false" customHeight="false" outlineLevel="0" collapsed="false">
      <c r="A3" s="3" t="s">
        <v>105</v>
      </c>
    </row>
    <row r="5" customFormat="false" ht="15" hidden="false" customHeight="false" outlineLevel="0" collapsed="false">
      <c r="A5" s="4" t="s">
        <v>106</v>
      </c>
      <c r="B5" s="5"/>
      <c r="C5" s="5"/>
    </row>
    <row r="6" customFormat="false" ht="15" hidden="false" customHeight="false" outlineLevel="0" collapsed="false">
      <c r="A6" s="9" t="s">
        <v>107</v>
      </c>
      <c r="B6" s="25" t="n">
        <v>35</v>
      </c>
      <c r="C6" s="3" t="s">
        <v>108</v>
      </c>
    </row>
    <row r="7" customFormat="false" ht="15" hidden="false" customHeight="false" outlineLevel="0" collapsed="false">
      <c r="A7" s="9" t="s">
        <v>109</v>
      </c>
      <c r="B7" s="25" t="n">
        <v>4</v>
      </c>
      <c r="C7" s="3" t="s">
        <v>110</v>
      </c>
    </row>
    <row r="8" customFormat="false" ht="15" hidden="false" customHeight="false" outlineLevel="0" collapsed="false">
      <c r="A8" s="9" t="s">
        <v>111</v>
      </c>
      <c r="B8" s="26" t="n">
        <f aca="false">B6*B7</f>
        <v>140</v>
      </c>
      <c r="C8" s="3" t="s">
        <v>112</v>
      </c>
    </row>
    <row r="9" customFormat="false" ht="15" hidden="false" customHeight="false" outlineLevel="0" collapsed="false">
      <c r="A9" s="9" t="s">
        <v>113</v>
      </c>
      <c r="B9" s="27" t="n">
        <v>20</v>
      </c>
      <c r="C9" s="3" t="s">
        <v>114</v>
      </c>
    </row>
    <row r="10" customFormat="false" ht="15" hidden="false" customHeight="false" outlineLevel="0" collapsed="false">
      <c r="A10" s="9" t="s">
        <v>115</v>
      </c>
      <c r="B10" s="26" t="n">
        <f aca="false">B8-B9</f>
        <v>120</v>
      </c>
      <c r="C10" s="3" t="s">
        <v>116</v>
      </c>
    </row>
    <row r="11" customFormat="false" ht="15" hidden="false" customHeight="false" outlineLevel="0" collapsed="false">
      <c r="A11" s="9" t="s">
        <v>117</v>
      </c>
      <c r="B11" s="27" t="n">
        <v>80</v>
      </c>
      <c r="C11" s="3" t="s">
        <v>118</v>
      </c>
    </row>
    <row r="12" customFormat="false" ht="15" hidden="false" customHeight="false" outlineLevel="0" collapsed="false">
      <c r="A12" s="9" t="s">
        <v>119</v>
      </c>
      <c r="B12" s="27" t="n">
        <v>56</v>
      </c>
      <c r="C12" s="3" t="s">
        <v>120</v>
      </c>
    </row>
    <row r="13" customFormat="false" ht="15" hidden="false" customHeight="false" outlineLevel="0" collapsed="false">
      <c r="A13" s="9" t="s">
        <v>121</v>
      </c>
      <c r="B13" s="26" t="n">
        <f aca="false">(B11+B12)/12</f>
        <v>11.3333333333333</v>
      </c>
      <c r="C13" s="3" t="s">
        <v>122</v>
      </c>
    </row>
    <row r="14" customFormat="false" ht="15" hidden="false" customHeight="false" outlineLevel="0" collapsed="false">
      <c r="A14" s="9" t="s">
        <v>123</v>
      </c>
      <c r="B14" s="26" t="n">
        <f aca="false">B10-B13</f>
        <v>108.666666666667</v>
      </c>
      <c r="C14" s="3" t="s">
        <v>124</v>
      </c>
    </row>
    <row r="15" customFormat="false" ht="15" hidden="false" customHeight="false" outlineLevel="0" collapsed="false">
      <c r="A15" s="9" t="s">
        <v>125</v>
      </c>
      <c r="B15" s="28" t="n">
        <v>1</v>
      </c>
      <c r="C15" s="3" t="s">
        <v>126</v>
      </c>
    </row>
    <row r="16" customFormat="false" ht="15" hidden="false" customHeight="false" outlineLevel="0" collapsed="false">
      <c r="A16" s="9" t="s">
        <v>127</v>
      </c>
      <c r="B16" s="29" t="n">
        <f aca="false">B8*12</f>
        <v>1680</v>
      </c>
      <c r="C16" s="3" t="s">
        <v>128</v>
      </c>
    </row>
    <row r="18" customFormat="false" ht="15" hidden="false" customHeight="false" outlineLevel="0" collapsed="false">
      <c r="A18" s="4" t="s">
        <v>129</v>
      </c>
      <c r="B18" s="5"/>
      <c r="C18" s="5"/>
    </row>
    <row r="19" customFormat="false" ht="15" hidden="false" customHeight="false" outlineLevel="0" collapsed="false">
      <c r="A19" s="9" t="s">
        <v>130</v>
      </c>
      <c r="B19" s="28" t="n">
        <v>0.062</v>
      </c>
      <c r="C19" s="3" t="s">
        <v>131</v>
      </c>
    </row>
    <row r="20" customFormat="false" ht="15" hidden="false" customHeight="false" outlineLevel="0" collapsed="false">
      <c r="A20" s="9" t="s">
        <v>132</v>
      </c>
      <c r="B20" s="30" t="n">
        <v>184500</v>
      </c>
      <c r="C20" s="3" t="s">
        <v>133</v>
      </c>
    </row>
    <row r="21" customFormat="false" ht="15" hidden="false" customHeight="false" outlineLevel="0" collapsed="false">
      <c r="A21" s="9" t="s">
        <v>134</v>
      </c>
      <c r="B21" s="28" t="n">
        <v>0.0145</v>
      </c>
      <c r="C21" s="3" t="s">
        <v>135</v>
      </c>
    </row>
    <row r="22" customFormat="false" ht="15" hidden="false" customHeight="false" outlineLevel="0" collapsed="false">
      <c r="A22" s="9" t="s">
        <v>136</v>
      </c>
      <c r="B22" s="28" t="n">
        <v>0.006</v>
      </c>
      <c r="C22" s="3" t="s">
        <v>137</v>
      </c>
    </row>
    <row r="23" customFormat="false" ht="15" hidden="false" customHeight="false" outlineLevel="0" collapsed="false">
      <c r="A23" s="9" t="s">
        <v>138</v>
      </c>
      <c r="B23" s="30" t="n">
        <v>7000</v>
      </c>
      <c r="C23" s="3" t="s">
        <v>139</v>
      </c>
    </row>
    <row r="24" customFormat="false" ht="15" hidden="false" customHeight="false" outlineLevel="0" collapsed="false">
      <c r="A24" s="9" t="s">
        <v>140</v>
      </c>
      <c r="B24" s="28" t="n">
        <v>0.02</v>
      </c>
      <c r="C24" s="3" t="s">
        <v>141</v>
      </c>
    </row>
    <row r="25" customFormat="false" ht="15" hidden="false" customHeight="false" outlineLevel="0" collapsed="false">
      <c r="A25" s="9" t="s">
        <v>142</v>
      </c>
      <c r="B25" s="30" t="n">
        <v>8000</v>
      </c>
      <c r="C25" s="3" t="s">
        <v>143</v>
      </c>
    </row>
    <row r="27" customFormat="false" ht="15" hidden="false" customHeight="false" outlineLevel="0" collapsed="false">
      <c r="A27" s="4" t="s">
        <v>144</v>
      </c>
      <c r="B27" s="5"/>
      <c r="C27" s="5"/>
    </row>
    <row r="28" customFormat="false" ht="15" hidden="false" customHeight="false" outlineLevel="0" collapsed="false">
      <c r="A28" s="9" t="s">
        <v>145</v>
      </c>
      <c r="B28" s="30" t="n">
        <v>184500</v>
      </c>
      <c r="C28" s="3" t="s">
        <v>146</v>
      </c>
    </row>
    <row r="29" customFormat="false" ht="15" hidden="false" customHeight="false" outlineLevel="0" collapsed="false">
      <c r="A29" s="9" t="s">
        <v>147</v>
      </c>
      <c r="B29" s="28" t="n">
        <v>0.5</v>
      </c>
      <c r="C29" s="3" t="s">
        <v>148</v>
      </c>
    </row>
    <row r="30" customFormat="false" ht="15" hidden="false" customHeight="false" outlineLevel="0" collapsed="false">
      <c r="A30" s="9" t="s">
        <v>149</v>
      </c>
      <c r="B30" s="31" t="n">
        <f aca="false">1-B29</f>
        <v>0.5</v>
      </c>
      <c r="C30" s="3" t="s">
        <v>150</v>
      </c>
    </row>
    <row r="32" customFormat="false" ht="15" hidden="false" customHeight="false" outlineLevel="0" collapsed="false">
      <c r="A32" s="4" t="s">
        <v>151</v>
      </c>
      <c r="B32" s="5"/>
      <c r="C32" s="5"/>
    </row>
    <row r="33" customFormat="false" ht="15" hidden="false" customHeight="false" outlineLevel="0" collapsed="false">
      <c r="A33" s="9" t="s">
        <v>152</v>
      </c>
      <c r="B33" s="32" t="n">
        <f aca="false">'Bill Rates'!$C$60</f>
        <v>249.404761904762</v>
      </c>
      <c r="C33" s="3" t="s">
        <v>153</v>
      </c>
    </row>
    <row r="34" customFormat="false" ht="15" hidden="false" customHeight="false" outlineLevel="0" collapsed="false">
      <c r="A34" s="9" t="s">
        <v>154</v>
      </c>
      <c r="B34" s="32" t="n">
        <f aca="false">'Bill Rates'!$D$60</f>
        <v>153.214285714286</v>
      </c>
      <c r="C34" s="3" t="s">
        <v>155</v>
      </c>
    </row>
    <row r="35" customFormat="false" ht="15" hidden="false" customHeight="false" outlineLevel="0" collapsed="false">
      <c r="A35" s="9" t="s">
        <v>156</v>
      </c>
      <c r="B35" s="32" t="n">
        <f aca="false">'Bill Rates'!$E$60</f>
        <v>96.3095238095238</v>
      </c>
      <c r="C35" s="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1"/>
    <col collapsed="false" customWidth="true" hidden="false" outlineLevel="0" max="9" min="8" style="0" width="10"/>
    <col collapsed="false" customWidth="true" hidden="false" outlineLevel="0" max="12" min="10" style="0" width="12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13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3"/>
    <col collapsed="false" customWidth="true" hidden="false" outlineLevel="0" max="24" min="24" style="0" width="9"/>
  </cols>
  <sheetData>
    <row r="1" customFormat="false" ht="17.35" hidden="false" customHeight="false" outlineLevel="0" collapsed="false">
      <c r="A1" s="15" t="s">
        <v>0</v>
      </c>
    </row>
    <row r="2" customFormat="false" ht="15" hidden="false" customHeight="false" outlineLevel="0" collapsed="false">
      <c r="A2" s="2" t="s">
        <v>158</v>
      </c>
    </row>
    <row r="3" customFormat="false" ht="15" hidden="false" customHeight="false" outlineLevel="0" collapsed="false">
      <c r="A3" s="3" t="s">
        <v>159</v>
      </c>
    </row>
    <row r="4" customFormat="false" ht="15" hidden="false" customHeight="false" outlineLevel="0" collapsed="false">
      <c r="A4" s="5"/>
      <c r="B4" s="5"/>
      <c r="C4" s="5"/>
      <c r="D4" s="33" t="s">
        <v>160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 t="s">
        <v>161</v>
      </c>
      <c r="Q4" s="33"/>
      <c r="R4" s="33"/>
      <c r="S4" s="33"/>
      <c r="T4" s="33"/>
      <c r="U4" s="33"/>
      <c r="V4" s="33"/>
      <c r="W4" s="33"/>
      <c r="X4" s="33"/>
    </row>
    <row r="5" customFormat="false" ht="30" hidden="false" customHeight="true" outlineLevel="0" collapsed="false">
      <c r="A5" s="34" t="s">
        <v>162</v>
      </c>
      <c r="B5" s="34" t="s">
        <v>163</v>
      </c>
      <c r="C5" s="34" t="s">
        <v>164</v>
      </c>
      <c r="D5" s="34" t="s">
        <v>165</v>
      </c>
      <c r="E5" s="34" t="s">
        <v>166</v>
      </c>
      <c r="F5" s="34" t="s">
        <v>167</v>
      </c>
      <c r="G5" s="34" t="s">
        <v>168</v>
      </c>
      <c r="H5" s="34" t="s">
        <v>169</v>
      </c>
      <c r="I5" s="34" t="s">
        <v>170</v>
      </c>
      <c r="J5" s="34" t="s">
        <v>171</v>
      </c>
      <c r="K5" s="34" t="s">
        <v>172</v>
      </c>
      <c r="L5" s="34" t="s">
        <v>173</v>
      </c>
      <c r="M5" s="34" t="s">
        <v>174</v>
      </c>
      <c r="N5" s="34" t="s">
        <v>175</v>
      </c>
      <c r="O5" s="34" t="s">
        <v>176</v>
      </c>
      <c r="P5" s="34" t="s">
        <v>177</v>
      </c>
      <c r="Q5" s="34" t="s">
        <v>178</v>
      </c>
      <c r="R5" s="34" t="s">
        <v>179</v>
      </c>
      <c r="S5" s="34" t="s">
        <v>180</v>
      </c>
      <c r="T5" s="34" t="s">
        <v>181</v>
      </c>
      <c r="U5" s="34" t="s">
        <v>182</v>
      </c>
      <c r="V5" s="34" t="s">
        <v>183</v>
      </c>
      <c r="W5" s="34" t="s">
        <v>184</v>
      </c>
      <c r="X5" s="34" t="s">
        <v>185</v>
      </c>
    </row>
    <row r="6" customFormat="false" ht="15" hidden="false" customHeight="false" outlineLevel="0" collapsed="false">
      <c r="A6" s="35" t="s">
        <v>186</v>
      </c>
      <c r="B6" s="19" t="s">
        <v>41</v>
      </c>
      <c r="C6" s="36" t="s">
        <v>187</v>
      </c>
      <c r="D6" s="37" t="n">
        <f aca="false">Assumptions!$B$28</f>
        <v>184500</v>
      </c>
      <c r="E6" s="38" t="n">
        <f aca="false">D6</f>
        <v>184500</v>
      </c>
      <c r="F6" s="38" t="n">
        <f aca="false">Assumptions!$B$19*MIN(E6,Assumptions!$B$20)</f>
        <v>11439</v>
      </c>
      <c r="G6" s="38" t="n">
        <f aca="false">Assumptions!$B$21*E6</f>
        <v>2675.25</v>
      </c>
      <c r="H6" s="38" t="n">
        <f aca="false">Assumptions!$B$22*MIN(E6,Assumptions!$B$23)</f>
        <v>42</v>
      </c>
      <c r="I6" s="38" t="n">
        <f aca="false">Assumptions!$B$24*MIN(E6,Assumptions!$B$25)</f>
        <v>160</v>
      </c>
      <c r="J6" s="38" t="n">
        <f aca="false">SUM(F6:I6)</f>
        <v>14316.25</v>
      </c>
      <c r="K6" s="39" t="n">
        <v>800</v>
      </c>
      <c r="L6" s="38" t="n">
        <f aca="false">K6*12</f>
        <v>9600</v>
      </c>
      <c r="M6" s="40" t="n">
        <f aca="false">E6+J6+L6</f>
        <v>208416.25</v>
      </c>
      <c r="N6" s="38" t="n">
        <f aca="false">M6/12</f>
        <v>17368.0208333333</v>
      </c>
      <c r="O6" s="41" t="n">
        <f aca="false">M6/Assumptions!$B$16</f>
        <v>124.057291666667</v>
      </c>
      <c r="P6" s="42" t="n">
        <f aca="false">Assumptions!$B$8*Assumptions!$B$29</f>
        <v>70</v>
      </c>
      <c r="Q6" s="42" t="n">
        <f aca="false">(P6-Assumptions!$B$13)*Assumptions!$B$15</f>
        <v>58.6666666666667</v>
      </c>
      <c r="R6" s="43" t="n">
        <f aca="false">Assumptions!$B$33</f>
        <v>249.404761904762</v>
      </c>
      <c r="S6" s="40" t="n">
        <f aca="false">Q6*R6</f>
        <v>14631.746031746</v>
      </c>
      <c r="T6" s="44" t="n">
        <f aca="false">Assumptions!$B$29</f>
        <v>0.5</v>
      </c>
      <c r="U6" s="38" t="n">
        <f aca="false">N6*T6</f>
        <v>8684.01041666667</v>
      </c>
      <c r="V6" s="38" t="n">
        <f aca="false">N6*(1-T6)</f>
        <v>8684.01041666667</v>
      </c>
      <c r="W6" s="40" t="n">
        <f aca="false">S6-U6</f>
        <v>5947.73561507936</v>
      </c>
      <c r="X6" s="45" t="n">
        <f aca="false">IF(S6=0,0,W6/S6)</f>
        <v>0.406495274191799</v>
      </c>
    </row>
    <row r="7" customFormat="false" ht="15" hidden="false" customHeight="false" outlineLevel="0" collapsed="false">
      <c r="A7" s="35" t="s">
        <v>188</v>
      </c>
      <c r="B7" s="19" t="s">
        <v>41</v>
      </c>
      <c r="C7" s="36" t="s">
        <v>189</v>
      </c>
      <c r="D7" s="39" t="n">
        <v>176000</v>
      </c>
      <c r="E7" s="38" t="n">
        <f aca="false">D7</f>
        <v>176000</v>
      </c>
      <c r="F7" s="38" t="n">
        <f aca="false">Assumptions!$B$19*MIN(E7,Assumptions!$B$20)</f>
        <v>10912</v>
      </c>
      <c r="G7" s="38" t="n">
        <f aca="false">Assumptions!$B$21*E7</f>
        <v>2552</v>
      </c>
      <c r="H7" s="38" t="n">
        <f aca="false">Assumptions!$B$22*MIN(E7,Assumptions!$B$23)</f>
        <v>42</v>
      </c>
      <c r="I7" s="38" t="n">
        <f aca="false">Assumptions!$B$24*MIN(E7,Assumptions!$B$25)</f>
        <v>160</v>
      </c>
      <c r="J7" s="38" t="n">
        <f aca="false">SUM(F7:I7)</f>
        <v>13666</v>
      </c>
      <c r="K7" s="39" t="n">
        <v>800</v>
      </c>
      <c r="L7" s="38" t="n">
        <f aca="false">K7*12</f>
        <v>9600</v>
      </c>
      <c r="M7" s="40" t="n">
        <f aca="false">E7+J7+L7</f>
        <v>199266</v>
      </c>
      <c r="N7" s="38" t="n">
        <f aca="false">M7/12</f>
        <v>16605.5</v>
      </c>
      <c r="O7" s="41" t="n">
        <f aca="false">M7/Assumptions!$B$16</f>
        <v>118.610714285714</v>
      </c>
      <c r="P7" s="42" t="n">
        <f aca="false">Assumptions!$B$10</f>
        <v>120</v>
      </c>
      <c r="Q7" s="42" t="n">
        <f aca="false">(P7-Assumptions!$B$13)*Assumptions!$B$15</f>
        <v>108.666666666667</v>
      </c>
      <c r="R7" s="43" t="n">
        <f aca="false">Assumptions!$B$33</f>
        <v>249.404761904762</v>
      </c>
      <c r="S7" s="40" t="n">
        <f aca="false">Q7*R7</f>
        <v>27101.9841269841</v>
      </c>
      <c r="T7" s="46" t="n">
        <v>1</v>
      </c>
      <c r="U7" s="38" t="n">
        <f aca="false">N7*T7</f>
        <v>16605.5</v>
      </c>
      <c r="V7" s="38" t="n">
        <f aca="false">N7*(1-T7)</f>
        <v>0</v>
      </c>
      <c r="W7" s="40" t="n">
        <f aca="false">S7-U7</f>
        <v>10496.4841269841</v>
      </c>
      <c r="X7" s="45" t="n">
        <f aca="false">IF(S7=0,0,W7/S7)</f>
        <v>0.387295781659517</v>
      </c>
    </row>
    <row r="8" customFormat="false" ht="15" hidden="false" customHeight="false" outlineLevel="0" collapsed="false">
      <c r="A8" s="35" t="s">
        <v>190</v>
      </c>
      <c r="B8" s="19" t="s">
        <v>42</v>
      </c>
      <c r="C8" s="36" t="s">
        <v>191</v>
      </c>
      <c r="D8" s="20" t="n">
        <v>60</v>
      </c>
      <c r="E8" s="38" t="n">
        <f aca="false">D8*Assumptions!$B$16</f>
        <v>100800</v>
      </c>
      <c r="F8" s="38" t="n">
        <f aca="false">Assumptions!$B$19*MIN(E8,Assumptions!$B$20)</f>
        <v>6249.6</v>
      </c>
      <c r="G8" s="38" t="n">
        <f aca="false">Assumptions!$B$21*E8</f>
        <v>1461.6</v>
      </c>
      <c r="H8" s="38" t="n">
        <f aca="false">Assumptions!$B$22*MIN(E8,Assumptions!$B$23)</f>
        <v>42</v>
      </c>
      <c r="I8" s="38" t="n">
        <f aca="false">Assumptions!$B$24*MIN(E8,Assumptions!$B$25)</f>
        <v>160</v>
      </c>
      <c r="J8" s="38" t="n">
        <f aca="false">SUM(F8:I8)</f>
        <v>7913.2</v>
      </c>
      <c r="K8" s="39" t="n">
        <v>800</v>
      </c>
      <c r="L8" s="38" t="n">
        <f aca="false">K8*12</f>
        <v>9600</v>
      </c>
      <c r="M8" s="40" t="n">
        <f aca="false">E8+J8+L8</f>
        <v>118313.2</v>
      </c>
      <c r="N8" s="38" t="n">
        <f aca="false">M8/12</f>
        <v>9859.43333333333</v>
      </c>
      <c r="O8" s="41" t="n">
        <f aca="false">M8/Assumptions!$B$16</f>
        <v>70.4245238095238</v>
      </c>
      <c r="P8" s="42" t="n">
        <f aca="false">Assumptions!$B$10</f>
        <v>120</v>
      </c>
      <c r="Q8" s="42" t="n">
        <f aca="false">(P8-Assumptions!$B$13)*Assumptions!$B$15</f>
        <v>108.666666666667</v>
      </c>
      <c r="R8" s="43" t="n">
        <f aca="false">Assumptions!$B$34</f>
        <v>153.214285714286</v>
      </c>
      <c r="S8" s="40" t="n">
        <f aca="false">Q8*R8</f>
        <v>16649.2857142857</v>
      </c>
      <c r="T8" s="46" t="n">
        <v>1</v>
      </c>
      <c r="U8" s="38" t="n">
        <f aca="false">N8*T8</f>
        <v>9859.43333333333</v>
      </c>
      <c r="V8" s="38" t="n">
        <f aca="false">N8*(1-T8)</f>
        <v>0</v>
      </c>
      <c r="W8" s="40" t="n">
        <f aca="false">S8-U8</f>
        <v>6789.85238095239</v>
      </c>
      <c r="X8" s="45" t="n">
        <f aca="false">IF(S8=0,0,W8/S8)</f>
        <v>0.407816437141591</v>
      </c>
    </row>
    <row r="9" customFormat="false" ht="15" hidden="false" customHeight="false" outlineLevel="0" collapsed="false">
      <c r="A9" s="35" t="s">
        <v>192</v>
      </c>
      <c r="B9" s="19" t="s">
        <v>43</v>
      </c>
      <c r="C9" s="36" t="s">
        <v>191</v>
      </c>
      <c r="D9" s="20" t="n">
        <v>35</v>
      </c>
      <c r="E9" s="38" t="n">
        <f aca="false">D9*Assumptions!$B$16</f>
        <v>58800</v>
      </c>
      <c r="F9" s="38" t="n">
        <f aca="false">Assumptions!$B$19*MIN(E9,Assumptions!$B$20)</f>
        <v>3645.6</v>
      </c>
      <c r="G9" s="38" t="n">
        <f aca="false">Assumptions!$B$21*E9</f>
        <v>852.6</v>
      </c>
      <c r="H9" s="38" t="n">
        <f aca="false">Assumptions!$B$22*MIN(E9,Assumptions!$B$23)</f>
        <v>42</v>
      </c>
      <c r="I9" s="38" t="n">
        <f aca="false">Assumptions!$B$24*MIN(E9,Assumptions!$B$25)</f>
        <v>160</v>
      </c>
      <c r="J9" s="38" t="n">
        <f aca="false">SUM(F9:I9)</f>
        <v>4700.2</v>
      </c>
      <c r="K9" s="39" t="n">
        <v>800</v>
      </c>
      <c r="L9" s="38" t="n">
        <f aca="false">K9*12</f>
        <v>9600</v>
      </c>
      <c r="M9" s="40" t="n">
        <f aca="false">E9+J9+L9</f>
        <v>73100.2</v>
      </c>
      <c r="N9" s="38" t="n">
        <f aca="false">M9/12</f>
        <v>6091.68333333333</v>
      </c>
      <c r="O9" s="41" t="n">
        <f aca="false">M9/Assumptions!$B$16</f>
        <v>43.5120238095238</v>
      </c>
      <c r="P9" s="42" t="n">
        <f aca="false">Assumptions!$B$10</f>
        <v>120</v>
      </c>
      <c r="Q9" s="42" t="n">
        <f aca="false">(P9-Assumptions!$B$13)*Assumptions!$B$15</f>
        <v>108.666666666667</v>
      </c>
      <c r="R9" s="43" t="n">
        <f aca="false">Assumptions!$B$35</f>
        <v>96.3095238095238</v>
      </c>
      <c r="S9" s="40" t="n">
        <f aca="false">Q9*R9</f>
        <v>10465.6349206349</v>
      </c>
      <c r="T9" s="46" t="n">
        <v>1</v>
      </c>
      <c r="U9" s="38" t="n">
        <f aca="false">N9*T9</f>
        <v>6091.68333333333</v>
      </c>
      <c r="V9" s="38" t="n">
        <f aca="false">N9*(1-T9)</f>
        <v>0</v>
      </c>
      <c r="W9" s="40" t="n">
        <f aca="false">S9-U9</f>
        <v>4373.95158730159</v>
      </c>
      <c r="X9" s="45" t="n">
        <f aca="false">IF(S9=0,0,W9/S9)</f>
        <v>0.417934661439177</v>
      </c>
    </row>
    <row r="10" customFormat="false" ht="15" hidden="false" customHeight="false" outlineLevel="0" collapsed="false">
      <c r="A10" s="35" t="s">
        <v>193</v>
      </c>
      <c r="B10" s="19" t="s">
        <v>43</v>
      </c>
      <c r="C10" s="36" t="s">
        <v>194</v>
      </c>
      <c r="D10" s="39" t="n">
        <v>3892.7</v>
      </c>
      <c r="E10" s="38" t="n">
        <f aca="false">D10*12</f>
        <v>46712.4</v>
      </c>
      <c r="F10" s="38" t="n">
        <v>0</v>
      </c>
      <c r="G10" s="38" t="n">
        <v>0</v>
      </c>
      <c r="H10" s="38" t="n">
        <v>0</v>
      </c>
      <c r="I10" s="38" t="n">
        <v>0</v>
      </c>
      <c r="J10" s="38" t="n">
        <f aca="false">SUM(F10:I10)</f>
        <v>0</v>
      </c>
      <c r="K10" s="39" t="n">
        <v>0</v>
      </c>
      <c r="L10" s="38" t="n">
        <f aca="false">K10*12</f>
        <v>0</v>
      </c>
      <c r="M10" s="40" t="n">
        <f aca="false">E10+J10+L10</f>
        <v>46712.4</v>
      </c>
      <c r="N10" s="38" t="n">
        <f aca="false">M10/12</f>
        <v>3892.7</v>
      </c>
      <c r="O10" s="41" t="n">
        <f aca="false">M10/Assumptions!$B$16</f>
        <v>27.805</v>
      </c>
      <c r="P10" s="42" t="n">
        <f aca="false">Assumptions!$B$10</f>
        <v>120</v>
      </c>
      <c r="Q10" s="42" t="n">
        <f aca="false">(P10-Assumptions!$B$13)*Assumptions!$B$15</f>
        <v>108.666666666667</v>
      </c>
      <c r="R10" s="43" t="n">
        <f aca="false">Assumptions!$B$35</f>
        <v>96.3095238095238</v>
      </c>
      <c r="S10" s="40" t="n">
        <f aca="false">Q10*R10</f>
        <v>10465.6349206349</v>
      </c>
      <c r="T10" s="46" t="n">
        <v>1</v>
      </c>
      <c r="U10" s="38" t="n">
        <f aca="false">N10*T10</f>
        <v>3892.7</v>
      </c>
      <c r="V10" s="38" t="n">
        <f aca="false">N10*(1-T10)</f>
        <v>0</v>
      </c>
      <c r="W10" s="40" t="n">
        <f aca="false">S10-U10</f>
        <v>6572.93492063492</v>
      </c>
      <c r="X10" s="45" t="n">
        <f aca="false">IF(S10=0,0,W10/S10)</f>
        <v>0.628049322423351</v>
      </c>
    </row>
    <row r="11" customFormat="false" ht="15" hidden="false" customHeight="false" outlineLevel="0" collapsed="false">
      <c r="A11" s="35" t="s">
        <v>195</v>
      </c>
      <c r="B11" s="19" t="s">
        <v>196</v>
      </c>
      <c r="C11" s="36" t="s">
        <v>189</v>
      </c>
      <c r="D11" s="39" t="n">
        <v>80000</v>
      </c>
      <c r="E11" s="38" t="n">
        <f aca="false">D11</f>
        <v>80000</v>
      </c>
      <c r="F11" s="38" t="n">
        <f aca="false">Assumptions!$B$19*MIN(E11,Assumptions!$B$20)</f>
        <v>4960</v>
      </c>
      <c r="G11" s="38" t="n">
        <f aca="false">Assumptions!$B$21*E11</f>
        <v>1160</v>
      </c>
      <c r="H11" s="38" t="n">
        <f aca="false">Assumptions!$B$22*MIN(E11,Assumptions!$B$23)</f>
        <v>42</v>
      </c>
      <c r="I11" s="38" t="n">
        <f aca="false">Assumptions!$B$24*MIN(E11,Assumptions!$B$25)</f>
        <v>160</v>
      </c>
      <c r="J11" s="38" t="n">
        <f aca="false">SUM(F11:I11)</f>
        <v>6322</v>
      </c>
      <c r="K11" s="39" t="n">
        <v>800</v>
      </c>
      <c r="L11" s="38" t="n">
        <f aca="false">K11*12</f>
        <v>9600</v>
      </c>
      <c r="M11" s="40" t="n">
        <f aca="false">E11+J11+L11</f>
        <v>95922</v>
      </c>
      <c r="N11" s="38" t="n">
        <f aca="false">M11/12</f>
        <v>7993.5</v>
      </c>
      <c r="O11" s="41" t="n">
        <f aca="false">M11/Assumptions!$B$16</f>
        <v>57.0964285714286</v>
      </c>
      <c r="P11" s="42" t="n">
        <f aca="false">Assumptions!$B$8*T11</f>
        <v>21</v>
      </c>
      <c r="Q11" s="42" t="n">
        <f aca="false">(P11-Assumptions!$B$13)*Assumptions!$B$15</f>
        <v>9.66666666666667</v>
      </c>
      <c r="R11" s="43" t="n">
        <f aca="false">Assumptions!$B$35</f>
        <v>96.3095238095238</v>
      </c>
      <c r="S11" s="40" t="n">
        <f aca="false">Q11*R11</f>
        <v>930.992063492064</v>
      </c>
      <c r="T11" s="46" t="n">
        <v>0.15</v>
      </c>
      <c r="U11" s="38" t="n">
        <f aca="false">N11*T11</f>
        <v>1199.025</v>
      </c>
      <c r="V11" s="38" t="n">
        <f aca="false">N11*(1-T11)</f>
        <v>6794.475</v>
      </c>
      <c r="W11" s="40" t="n">
        <f aca="false">S11-U11</f>
        <v>-268.032936507936</v>
      </c>
      <c r="X11" s="45" t="n">
        <f aca="false">IF(S11=0,0,W11/S11)</f>
        <v>-0.287900345253825</v>
      </c>
    </row>
    <row r="12" customFormat="false" ht="15" hidden="false" customHeight="false" outlineLevel="0" collapsed="false">
      <c r="A12" s="22" t="s">
        <v>197</v>
      </c>
      <c r="B12" s="21"/>
      <c r="C12" s="21"/>
      <c r="D12" s="21"/>
      <c r="E12" s="47" t="n">
        <f aca="false">SUM(E6:E11)</f>
        <v>646812.4</v>
      </c>
      <c r="F12" s="47" t="n">
        <f aca="false">SUM(F6:F11)</f>
        <v>37206.2</v>
      </c>
      <c r="G12" s="47" t="n">
        <f aca="false">SUM(G6:G11)</f>
        <v>8701.45</v>
      </c>
      <c r="H12" s="47" t="n">
        <f aca="false">SUM(H6:H11)</f>
        <v>210</v>
      </c>
      <c r="I12" s="47" t="n">
        <f aca="false">SUM(I6:I11)</f>
        <v>800</v>
      </c>
      <c r="J12" s="47" t="n">
        <f aca="false">SUM(J6:J11)</f>
        <v>46917.65</v>
      </c>
      <c r="L12" s="47" t="n">
        <f aca="false">SUM(L6:L11)</f>
        <v>48000</v>
      </c>
      <c r="M12" s="47" t="n">
        <f aca="false">SUM(M6:M11)</f>
        <v>741730.05</v>
      </c>
      <c r="N12" s="47" t="n">
        <f aca="false">SUM(N6:N11)</f>
        <v>61810.8375</v>
      </c>
      <c r="O12" s="23" t="n">
        <f aca="false">M12/Assumptions!$B$16</f>
        <v>441.505982142857</v>
      </c>
      <c r="P12" s="21"/>
      <c r="Q12" s="48" t="n">
        <f aca="false">SUM(Q6:Q11)</f>
        <v>503</v>
      </c>
      <c r="R12" s="21"/>
      <c r="S12" s="47" t="n">
        <f aca="false">SUM(S6:S11)</f>
        <v>80245.2777777778</v>
      </c>
      <c r="T12" s="21"/>
      <c r="U12" s="47" t="n">
        <f aca="false">SUM(U6:U11)</f>
        <v>46332.3520833333</v>
      </c>
      <c r="V12" s="47" t="n">
        <f aca="false">SUM(V6:V11)</f>
        <v>15478.4854166667</v>
      </c>
      <c r="W12" s="47" t="n">
        <f aca="false">SUM(W6:W11)</f>
        <v>33912.9256944445</v>
      </c>
      <c r="X12" s="49" t="n">
        <f aca="false">IF(S12=0,0,W12/S12)</f>
        <v>0.422615842746025</v>
      </c>
    </row>
    <row r="14" customFormat="false" ht="15" hidden="false" customHeight="false" outlineLevel="0" collapsed="false">
      <c r="A14" s="50" t="s">
        <v>198</v>
      </c>
    </row>
    <row r="15" customFormat="false" ht="15" hidden="false" customHeight="false" outlineLevel="0" collapsed="false">
      <c r="A15" s="3" t="s">
        <v>199</v>
      </c>
    </row>
    <row r="16" customFormat="false" ht="15" hidden="false" customHeight="false" outlineLevel="0" collapsed="false">
      <c r="A16" s="3" t="s">
        <v>200</v>
      </c>
    </row>
    <row r="17" customFormat="false" ht="15" hidden="false" customHeight="false" outlineLevel="0" collapsed="false">
      <c r="A17" s="3" t="s">
        <v>201</v>
      </c>
    </row>
  </sheetData>
  <mergeCells count="2">
    <mergeCell ref="D4:O4"/>
    <mergeCell ref="P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5" t="s">
        <v>0</v>
      </c>
    </row>
    <row r="2" customFormat="false" ht="15" hidden="false" customHeight="false" outlineLevel="0" collapsed="false">
      <c r="A2" s="2" t="s">
        <v>202</v>
      </c>
    </row>
    <row r="3" customFormat="false" ht="15" hidden="false" customHeight="false" outlineLevel="0" collapsed="false">
      <c r="A3" s="51" t="s">
        <v>203</v>
      </c>
    </row>
    <row r="4" customFormat="false" ht="15" hidden="false" customHeight="false" outlineLevel="0" collapsed="false">
      <c r="A4" s="3" t="s">
        <v>204</v>
      </c>
    </row>
    <row r="6" customFormat="false" ht="15" hidden="false" customHeight="false" outlineLevel="0" collapsed="false">
      <c r="A6" s="5"/>
      <c r="B6" s="17" t="s">
        <v>205</v>
      </c>
      <c r="C6" s="17" t="s">
        <v>206</v>
      </c>
      <c r="D6" s="17" t="s">
        <v>207</v>
      </c>
      <c r="E6" s="17" t="s">
        <v>208</v>
      </c>
      <c r="F6" s="17" t="s">
        <v>209</v>
      </c>
      <c r="G6" s="17" t="s">
        <v>210</v>
      </c>
      <c r="H6" s="17" t="s">
        <v>211</v>
      </c>
      <c r="I6" s="17" t="s">
        <v>212</v>
      </c>
      <c r="J6" s="17" t="s">
        <v>213</v>
      </c>
      <c r="K6" s="17" t="s">
        <v>214</v>
      </c>
      <c r="L6" s="17" t="s">
        <v>215</v>
      </c>
      <c r="M6" s="17" t="s">
        <v>216</v>
      </c>
      <c r="N6" s="17" t="s">
        <v>217</v>
      </c>
    </row>
    <row r="7" customFormat="false" ht="15" hidden="false" customHeight="false" outlineLevel="0" collapsed="false">
      <c r="A7" s="4" t="s">
        <v>218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</row>
    <row r="8" customFormat="false" ht="15" hidden="false" customHeight="false" outlineLevel="0" collapsed="false">
      <c r="A8" s="9" t="s">
        <v>219</v>
      </c>
      <c r="B8" s="30" t="n">
        <v>0</v>
      </c>
      <c r="C8" s="30" t="n">
        <v>0</v>
      </c>
      <c r="D8" s="30" t="n">
        <v>0</v>
      </c>
      <c r="E8" s="30" t="n">
        <v>0</v>
      </c>
      <c r="F8" s="30" t="n">
        <v>0</v>
      </c>
      <c r="G8" s="30" t="n">
        <v>0</v>
      </c>
      <c r="H8" s="30" t="n">
        <v>0</v>
      </c>
      <c r="I8" s="30" t="n">
        <v>0</v>
      </c>
      <c r="J8" s="30" t="n">
        <v>0</v>
      </c>
      <c r="K8" s="30" t="n">
        <v>0</v>
      </c>
      <c r="L8" s="30" t="n">
        <v>0</v>
      </c>
      <c r="M8" s="30" t="n">
        <v>0</v>
      </c>
      <c r="N8" s="52" t="n">
        <f aca="false">SUM(B8:M8)</f>
        <v>0</v>
      </c>
      <c r="P8" s="53" t="s">
        <v>220</v>
      </c>
    </row>
    <row r="9" customFormat="false" ht="15" hidden="false" customHeight="false" outlineLevel="0" collapsed="false">
      <c r="A9" s="9" t="s">
        <v>221</v>
      </c>
      <c r="B9" s="54" t="n">
        <f aca="false">SUM('Staff P&amp;L'!$S$6:$S$11)</f>
        <v>80245.2777777778</v>
      </c>
      <c r="C9" s="54" t="n">
        <f aca="false">SUM('Staff P&amp;L'!$S$6:$S$11)</f>
        <v>80245.2777777778</v>
      </c>
      <c r="D9" s="54" t="n">
        <f aca="false">SUM('Staff P&amp;L'!$S$6:$S$11)</f>
        <v>80245.2777777778</v>
      </c>
      <c r="E9" s="54" t="n">
        <f aca="false">SUM('Staff P&amp;L'!$S$6:$S$11)</f>
        <v>80245.2777777778</v>
      </c>
      <c r="F9" s="54" t="n">
        <f aca="false">SUM('Staff P&amp;L'!$S$6:$S$11)</f>
        <v>80245.2777777778</v>
      </c>
      <c r="G9" s="54" t="n">
        <f aca="false">SUM('Staff P&amp;L'!$S$6:$S$11)</f>
        <v>80245.2777777778</v>
      </c>
      <c r="H9" s="54" t="n">
        <f aca="false">SUM('Staff P&amp;L'!$S$6:$S$11)</f>
        <v>80245.2777777778</v>
      </c>
      <c r="I9" s="54" t="n">
        <f aca="false">SUM('Staff P&amp;L'!$S$6:$S$11)</f>
        <v>80245.2777777778</v>
      </c>
      <c r="J9" s="54" t="n">
        <f aca="false">SUM('Staff P&amp;L'!$S$6:$S$11)</f>
        <v>80245.2777777778</v>
      </c>
      <c r="K9" s="54" t="n">
        <f aca="false">SUM('Staff P&amp;L'!$S$6:$S$11)</f>
        <v>80245.2777777778</v>
      </c>
      <c r="L9" s="54" t="n">
        <f aca="false">SUM('Staff P&amp;L'!$S$6:$S$11)</f>
        <v>80245.2777777778</v>
      </c>
      <c r="M9" s="54" t="n">
        <f aca="false">SUM('Staff P&amp;L'!$S$6:$S$11)</f>
        <v>80245.2777777778</v>
      </c>
      <c r="N9" s="52" t="n">
        <f aca="false">SUM(B9:M9)</f>
        <v>962943.333333333</v>
      </c>
      <c r="P9" s="53" t="s">
        <v>222</v>
      </c>
    </row>
    <row r="10" customFormat="false" ht="15" hidden="false" customHeight="false" outlineLevel="0" collapsed="false">
      <c r="A10" s="55" t="s">
        <v>223</v>
      </c>
      <c r="B10" s="56" t="n">
        <f aca="false">B8+B9</f>
        <v>80245.2777777778</v>
      </c>
      <c r="C10" s="56" t="n">
        <f aca="false">C8+C9</f>
        <v>80245.2777777778</v>
      </c>
      <c r="D10" s="56" t="n">
        <f aca="false">D8+D9</f>
        <v>80245.2777777778</v>
      </c>
      <c r="E10" s="56" t="n">
        <f aca="false">E8+E9</f>
        <v>80245.2777777778</v>
      </c>
      <c r="F10" s="56" t="n">
        <f aca="false">F8+F9</f>
        <v>80245.2777777778</v>
      </c>
      <c r="G10" s="56" t="n">
        <f aca="false">G8+G9</f>
        <v>80245.2777777778</v>
      </c>
      <c r="H10" s="56" t="n">
        <f aca="false">H8+H9</f>
        <v>80245.2777777778</v>
      </c>
      <c r="I10" s="56" t="n">
        <f aca="false">I8+I9</f>
        <v>80245.2777777778</v>
      </c>
      <c r="J10" s="56" t="n">
        <f aca="false">J8+J9</f>
        <v>80245.2777777778</v>
      </c>
      <c r="K10" s="56" t="n">
        <f aca="false">K8+K9</f>
        <v>80245.2777777778</v>
      </c>
      <c r="L10" s="56" t="n">
        <f aca="false">L8+L9</f>
        <v>80245.2777777778</v>
      </c>
      <c r="M10" s="56" t="n">
        <f aca="false">M8+M9</f>
        <v>80245.2777777778</v>
      </c>
      <c r="N10" s="56" t="n">
        <f aca="false">N8+N9</f>
        <v>962943.333333333</v>
      </c>
    </row>
    <row r="11" customFormat="false" ht="15" hidden="false" customHeight="false" outlineLevel="0" collapsed="false">
      <c r="A11" s="4" t="s">
        <v>224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</row>
    <row r="12" customFormat="false" ht="15" hidden="false" customHeight="false" outlineLevel="0" collapsed="false">
      <c r="A12" s="9" t="s">
        <v>225</v>
      </c>
      <c r="B12" s="54" t="n">
        <f aca="false">'Staff P&amp;L'!$U$10</f>
        <v>3892.7</v>
      </c>
      <c r="C12" s="54" t="n">
        <f aca="false">'Staff P&amp;L'!$U$10</f>
        <v>3892.7</v>
      </c>
      <c r="D12" s="54" t="n">
        <f aca="false">'Staff P&amp;L'!$U$10</f>
        <v>3892.7</v>
      </c>
      <c r="E12" s="54" t="n">
        <f aca="false">'Staff P&amp;L'!$U$10</f>
        <v>3892.7</v>
      </c>
      <c r="F12" s="54" t="n">
        <f aca="false">'Staff P&amp;L'!$U$10</f>
        <v>3892.7</v>
      </c>
      <c r="G12" s="54" t="n">
        <f aca="false">'Staff P&amp;L'!$U$10</f>
        <v>3892.7</v>
      </c>
      <c r="H12" s="54" t="n">
        <f aca="false">'Staff P&amp;L'!$U$10</f>
        <v>3892.7</v>
      </c>
      <c r="I12" s="54" t="n">
        <f aca="false">'Staff P&amp;L'!$U$10</f>
        <v>3892.7</v>
      </c>
      <c r="J12" s="54" t="n">
        <f aca="false">'Staff P&amp;L'!$U$10</f>
        <v>3892.7</v>
      </c>
      <c r="K12" s="54" t="n">
        <f aca="false">'Staff P&amp;L'!$U$10</f>
        <v>3892.7</v>
      </c>
      <c r="L12" s="54" t="n">
        <f aca="false">'Staff P&amp;L'!$U$10</f>
        <v>3892.7</v>
      </c>
      <c r="M12" s="54" t="n">
        <f aca="false">'Staff P&amp;L'!$U$10</f>
        <v>3892.7</v>
      </c>
      <c r="N12" s="52" t="n">
        <f aca="false">SUM(B12:M12)</f>
        <v>46712.4</v>
      </c>
      <c r="P12" s="53" t="s">
        <v>226</v>
      </c>
    </row>
    <row r="13" customFormat="false" ht="15" hidden="false" customHeight="false" outlineLevel="0" collapsed="false">
      <c r="A13" s="9" t="s">
        <v>227</v>
      </c>
      <c r="B13" s="30" t="n">
        <v>28.48</v>
      </c>
      <c r="C13" s="30" t="n">
        <v>28.48</v>
      </c>
      <c r="D13" s="30" t="n">
        <v>28.48</v>
      </c>
      <c r="E13" s="30" t="n">
        <v>28.48</v>
      </c>
      <c r="F13" s="30" t="n">
        <v>28.48</v>
      </c>
      <c r="G13" s="30" t="n">
        <v>28.48</v>
      </c>
      <c r="H13" s="30" t="n">
        <v>28.48</v>
      </c>
      <c r="I13" s="30" t="n">
        <v>28.48</v>
      </c>
      <c r="J13" s="30" t="n">
        <v>28.48</v>
      </c>
      <c r="K13" s="30" t="n">
        <v>28.48</v>
      </c>
      <c r="L13" s="30" t="n">
        <v>28.48</v>
      </c>
      <c r="M13" s="30" t="n">
        <v>28.48</v>
      </c>
      <c r="N13" s="52" t="n">
        <f aca="false">SUM(B13:M13)</f>
        <v>341.76</v>
      </c>
      <c r="P13" s="53" t="s">
        <v>228</v>
      </c>
    </row>
    <row r="14" customFormat="false" ht="15" hidden="false" customHeight="false" outlineLevel="0" collapsed="false">
      <c r="A14" s="6" t="s">
        <v>229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customFormat="false" ht="15" hidden="false" customHeight="false" outlineLevel="0" collapsed="false">
      <c r="A15" s="9" t="s">
        <v>230</v>
      </c>
      <c r="B15" s="30" t="n">
        <v>0</v>
      </c>
      <c r="C15" s="30" t="n">
        <v>0</v>
      </c>
      <c r="D15" s="30" t="n">
        <v>0</v>
      </c>
      <c r="E15" s="30" t="n">
        <v>0</v>
      </c>
      <c r="F15" s="30" t="n">
        <v>0</v>
      </c>
      <c r="G15" s="30" t="n">
        <v>0</v>
      </c>
      <c r="H15" s="30" t="n">
        <v>0</v>
      </c>
      <c r="I15" s="30" t="n">
        <v>0</v>
      </c>
      <c r="J15" s="30" t="n">
        <v>0</v>
      </c>
      <c r="K15" s="30" t="n">
        <v>0</v>
      </c>
      <c r="L15" s="30" t="n">
        <v>0</v>
      </c>
      <c r="M15" s="30" t="n">
        <v>0</v>
      </c>
      <c r="N15" s="52" t="n">
        <f aca="false">SUM(B15:M15)</f>
        <v>0</v>
      </c>
      <c r="P15" s="53" t="s">
        <v>231</v>
      </c>
    </row>
    <row r="16" customFormat="false" ht="15" hidden="false" customHeight="false" outlineLevel="0" collapsed="false">
      <c r="A16" s="9" t="s">
        <v>232</v>
      </c>
      <c r="B16" s="30" t="n">
        <v>0</v>
      </c>
      <c r="C16" s="30" t="n">
        <v>0</v>
      </c>
      <c r="D16" s="30" t="n">
        <v>0</v>
      </c>
      <c r="E16" s="30" t="n">
        <v>0</v>
      </c>
      <c r="F16" s="30" t="n">
        <v>0</v>
      </c>
      <c r="G16" s="30" t="n">
        <v>0</v>
      </c>
      <c r="H16" s="30" t="n">
        <v>0</v>
      </c>
      <c r="I16" s="30" t="n">
        <v>0</v>
      </c>
      <c r="J16" s="30" t="n">
        <v>0</v>
      </c>
      <c r="K16" s="30" t="n">
        <v>0</v>
      </c>
      <c r="L16" s="30" t="n">
        <v>0</v>
      </c>
      <c r="M16" s="30" t="n">
        <v>0</v>
      </c>
      <c r="N16" s="52" t="n">
        <f aca="false">SUM(B16:M16)</f>
        <v>0</v>
      </c>
      <c r="P16" s="53" t="s">
        <v>233</v>
      </c>
    </row>
    <row r="17" customFormat="false" ht="15" hidden="false" customHeight="false" outlineLevel="0" collapsed="false">
      <c r="A17" s="9" t="s">
        <v>234</v>
      </c>
      <c r="B17" s="54" t="n">
        <f aca="false">'Staff P&amp;L'!$E$6/12*'Staff P&amp;L'!$T$6+'Staff P&amp;L'!$E$7/12*'Staff P&amp;L'!$T$7+'Staff P&amp;L'!$E$8/12*'Staff P&amp;L'!$T$8+'Staff P&amp;L'!$E$9/12*'Staff P&amp;L'!$T$9+'Staff P&amp;L'!$E$11/12*'Staff P&amp;L'!$T$11</f>
        <v>36654.1666666667</v>
      </c>
      <c r="C17" s="54" t="n">
        <f aca="false">'Staff P&amp;L'!$E$6/12*'Staff P&amp;L'!$T$6+'Staff P&amp;L'!$E$7/12*'Staff P&amp;L'!$T$7+'Staff P&amp;L'!$E$8/12*'Staff P&amp;L'!$T$8+'Staff P&amp;L'!$E$9/12*'Staff P&amp;L'!$T$9+'Staff P&amp;L'!$E$11/12*'Staff P&amp;L'!$T$11</f>
        <v>36654.1666666667</v>
      </c>
      <c r="D17" s="54" t="n">
        <f aca="false">'Staff P&amp;L'!$E$6/12*'Staff P&amp;L'!$T$6+'Staff P&amp;L'!$E$7/12*'Staff P&amp;L'!$T$7+'Staff P&amp;L'!$E$8/12*'Staff P&amp;L'!$T$8+'Staff P&amp;L'!$E$9/12*'Staff P&amp;L'!$T$9+'Staff P&amp;L'!$E$11/12*'Staff P&amp;L'!$T$11</f>
        <v>36654.1666666667</v>
      </c>
      <c r="E17" s="54" t="n">
        <f aca="false">'Staff P&amp;L'!$E$6/12*'Staff P&amp;L'!$T$6+'Staff P&amp;L'!$E$7/12*'Staff P&amp;L'!$T$7+'Staff P&amp;L'!$E$8/12*'Staff P&amp;L'!$T$8+'Staff P&amp;L'!$E$9/12*'Staff P&amp;L'!$T$9+'Staff P&amp;L'!$E$11/12*'Staff P&amp;L'!$T$11</f>
        <v>36654.1666666667</v>
      </c>
      <c r="F17" s="54" t="n">
        <f aca="false">'Staff P&amp;L'!$E$6/12*'Staff P&amp;L'!$T$6+'Staff P&amp;L'!$E$7/12*'Staff P&amp;L'!$T$7+'Staff P&amp;L'!$E$8/12*'Staff P&amp;L'!$T$8+'Staff P&amp;L'!$E$9/12*'Staff P&amp;L'!$T$9+'Staff P&amp;L'!$E$11/12*'Staff P&amp;L'!$T$11</f>
        <v>36654.1666666667</v>
      </c>
      <c r="G17" s="54" t="n">
        <f aca="false">'Staff P&amp;L'!$E$6/12*'Staff P&amp;L'!$T$6+'Staff P&amp;L'!$E$7/12*'Staff P&amp;L'!$T$7+'Staff P&amp;L'!$E$8/12*'Staff P&amp;L'!$T$8+'Staff P&amp;L'!$E$9/12*'Staff P&amp;L'!$T$9+'Staff P&amp;L'!$E$11/12*'Staff P&amp;L'!$T$11</f>
        <v>36654.1666666667</v>
      </c>
      <c r="H17" s="54" t="n">
        <f aca="false">'Staff P&amp;L'!$E$6/12*'Staff P&amp;L'!$T$6+'Staff P&amp;L'!$E$7/12*'Staff P&amp;L'!$T$7+'Staff P&amp;L'!$E$8/12*'Staff P&amp;L'!$T$8+'Staff P&amp;L'!$E$9/12*'Staff P&amp;L'!$T$9+'Staff P&amp;L'!$E$11/12*'Staff P&amp;L'!$T$11</f>
        <v>36654.1666666667</v>
      </c>
      <c r="I17" s="54" t="n">
        <f aca="false">'Staff P&amp;L'!$E$6/12*'Staff P&amp;L'!$T$6+'Staff P&amp;L'!$E$7/12*'Staff P&amp;L'!$T$7+'Staff P&amp;L'!$E$8/12*'Staff P&amp;L'!$T$8+'Staff P&amp;L'!$E$9/12*'Staff P&amp;L'!$T$9+'Staff P&amp;L'!$E$11/12*'Staff P&amp;L'!$T$11</f>
        <v>36654.1666666667</v>
      </c>
      <c r="J17" s="54" t="n">
        <f aca="false">'Staff P&amp;L'!$E$6/12*'Staff P&amp;L'!$T$6+'Staff P&amp;L'!$E$7/12*'Staff P&amp;L'!$T$7+'Staff P&amp;L'!$E$8/12*'Staff P&amp;L'!$T$8+'Staff P&amp;L'!$E$9/12*'Staff P&amp;L'!$T$9+'Staff P&amp;L'!$E$11/12*'Staff P&amp;L'!$T$11</f>
        <v>36654.1666666667</v>
      </c>
      <c r="K17" s="54" t="n">
        <f aca="false">'Staff P&amp;L'!$E$6/12*'Staff P&amp;L'!$T$6+'Staff P&amp;L'!$E$7/12*'Staff P&amp;L'!$T$7+'Staff P&amp;L'!$E$8/12*'Staff P&amp;L'!$T$8+'Staff P&amp;L'!$E$9/12*'Staff P&amp;L'!$T$9+'Staff P&amp;L'!$E$11/12*'Staff P&amp;L'!$T$11</f>
        <v>36654.1666666667</v>
      </c>
      <c r="L17" s="54" t="n">
        <f aca="false">'Staff P&amp;L'!$E$6/12*'Staff P&amp;L'!$T$6+'Staff P&amp;L'!$E$7/12*'Staff P&amp;L'!$T$7+'Staff P&amp;L'!$E$8/12*'Staff P&amp;L'!$T$8+'Staff P&amp;L'!$E$9/12*'Staff P&amp;L'!$T$9+'Staff P&amp;L'!$E$11/12*'Staff P&amp;L'!$T$11</f>
        <v>36654.1666666667</v>
      </c>
      <c r="M17" s="54" t="n">
        <f aca="false">'Staff P&amp;L'!$E$6/12*'Staff P&amp;L'!$T$6+'Staff P&amp;L'!$E$7/12*'Staff P&amp;L'!$T$7+'Staff P&amp;L'!$E$8/12*'Staff P&amp;L'!$T$8+'Staff P&amp;L'!$E$9/12*'Staff P&amp;L'!$T$9+'Staff P&amp;L'!$E$11/12*'Staff P&amp;L'!$T$11</f>
        <v>36654.1666666667</v>
      </c>
      <c r="N17" s="52" t="n">
        <f aca="false">SUM(B17:M17)</f>
        <v>439850</v>
      </c>
      <c r="P17" s="53" t="s">
        <v>235</v>
      </c>
    </row>
    <row r="18" customFormat="false" ht="15" hidden="false" customHeight="false" outlineLevel="0" collapsed="false">
      <c r="A18" s="9" t="s">
        <v>236</v>
      </c>
      <c r="B18" s="54" t="n">
        <f aca="false">'Staff P&amp;L'!$J$6/12*'Staff P&amp;L'!$T$6+'Staff P&amp;L'!$J$7/12*'Staff P&amp;L'!$T$7+'Staff P&amp;L'!$J$8/12*'Staff P&amp;L'!$T$8+'Staff P&amp;L'!$J$9/12*'Staff P&amp;L'!$T$9+'Staff P&amp;L'!$J$11/12*'Staff P&amp;L'!$T$11</f>
        <v>2865.48541666667</v>
      </c>
      <c r="C18" s="54" t="n">
        <f aca="false">'Staff P&amp;L'!$J$6/12*'Staff P&amp;L'!$T$6+'Staff P&amp;L'!$J$7/12*'Staff P&amp;L'!$T$7+'Staff P&amp;L'!$J$8/12*'Staff P&amp;L'!$T$8+'Staff P&amp;L'!$J$9/12*'Staff P&amp;L'!$T$9+'Staff P&amp;L'!$J$11/12*'Staff P&amp;L'!$T$11</f>
        <v>2865.48541666667</v>
      </c>
      <c r="D18" s="54" t="n">
        <f aca="false">'Staff P&amp;L'!$J$6/12*'Staff P&amp;L'!$T$6+'Staff P&amp;L'!$J$7/12*'Staff P&amp;L'!$T$7+'Staff P&amp;L'!$J$8/12*'Staff P&amp;L'!$T$8+'Staff P&amp;L'!$J$9/12*'Staff P&amp;L'!$T$9+'Staff P&amp;L'!$J$11/12*'Staff P&amp;L'!$T$11</f>
        <v>2865.48541666667</v>
      </c>
      <c r="E18" s="54" t="n">
        <f aca="false">'Staff P&amp;L'!$J$6/12*'Staff P&amp;L'!$T$6+'Staff P&amp;L'!$J$7/12*'Staff P&amp;L'!$T$7+'Staff P&amp;L'!$J$8/12*'Staff P&amp;L'!$T$8+'Staff P&amp;L'!$J$9/12*'Staff P&amp;L'!$T$9+'Staff P&amp;L'!$J$11/12*'Staff P&amp;L'!$T$11</f>
        <v>2865.48541666667</v>
      </c>
      <c r="F18" s="54" t="n">
        <f aca="false">'Staff P&amp;L'!$J$6/12*'Staff P&amp;L'!$T$6+'Staff P&amp;L'!$J$7/12*'Staff P&amp;L'!$T$7+'Staff P&amp;L'!$J$8/12*'Staff P&amp;L'!$T$8+'Staff P&amp;L'!$J$9/12*'Staff P&amp;L'!$T$9+'Staff P&amp;L'!$J$11/12*'Staff P&amp;L'!$T$11</f>
        <v>2865.48541666667</v>
      </c>
      <c r="G18" s="54" t="n">
        <f aca="false">'Staff P&amp;L'!$J$6/12*'Staff P&amp;L'!$T$6+'Staff P&amp;L'!$J$7/12*'Staff P&amp;L'!$T$7+'Staff P&amp;L'!$J$8/12*'Staff P&amp;L'!$T$8+'Staff P&amp;L'!$J$9/12*'Staff P&amp;L'!$T$9+'Staff P&amp;L'!$J$11/12*'Staff P&amp;L'!$T$11</f>
        <v>2865.48541666667</v>
      </c>
      <c r="H18" s="54" t="n">
        <f aca="false">'Staff P&amp;L'!$J$6/12*'Staff P&amp;L'!$T$6+'Staff P&amp;L'!$J$7/12*'Staff P&amp;L'!$T$7+'Staff P&amp;L'!$J$8/12*'Staff P&amp;L'!$T$8+'Staff P&amp;L'!$J$9/12*'Staff P&amp;L'!$T$9+'Staff P&amp;L'!$J$11/12*'Staff P&amp;L'!$T$11</f>
        <v>2865.48541666667</v>
      </c>
      <c r="I18" s="54" t="n">
        <f aca="false">'Staff P&amp;L'!$J$6/12*'Staff P&amp;L'!$T$6+'Staff P&amp;L'!$J$7/12*'Staff P&amp;L'!$T$7+'Staff P&amp;L'!$J$8/12*'Staff P&amp;L'!$T$8+'Staff P&amp;L'!$J$9/12*'Staff P&amp;L'!$T$9+'Staff P&amp;L'!$J$11/12*'Staff P&amp;L'!$T$11</f>
        <v>2865.48541666667</v>
      </c>
      <c r="J18" s="54" t="n">
        <f aca="false">'Staff P&amp;L'!$J$6/12*'Staff P&amp;L'!$T$6+'Staff P&amp;L'!$J$7/12*'Staff P&amp;L'!$T$7+'Staff P&amp;L'!$J$8/12*'Staff P&amp;L'!$T$8+'Staff P&amp;L'!$J$9/12*'Staff P&amp;L'!$T$9+'Staff P&amp;L'!$J$11/12*'Staff P&amp;L'!$T$11</f>
        <v>2865.48541666667</v>
      </c>
      <c r="K18" s="54" t="n">
        <f aca="false">'Staff P&amp;L'!$J$6/12*'Staff P&amp;L'!$T$6+'Staff P&amp;L'!$J$7/12*'Staff P&amp;L'!$T$7+'Staff P&amp;L'!$J$8/12*'Staff P&amp;L'!$T$8+'Staff P&amp;L'!$J$9/12*'Staff P&amp;L'!$T$9+'Staff P&amp;L'!$J$11/12*'Staff P&amp;L'!$T$11</f>
        <v>2865.48541666667</v>
      </c>
      <c r="L18" s="54" t="n">
        <f aca="false">'Staff P&amp;L'!$J$6/12*'Staff P&amp;L'!$T$6+'Staff P&amp;L'!$J$7/12*'Staff P&amp;L'!$T$7+'Staff P&amp;L'!$J$8/12*'Staff P&amp;L'!$T$8+'Staff P&amp;L'!$J$9/12*'Staff P&amp;L'!$T$9+'Staff P&amp;L'!$J$11/12*'Staff P&amp;L'!$T$11</f>
        <v>2865.48541666667</v>
      </c>
      <c r="M18" s="54" t="n">
        <f aca="false">'Staff P&amp;L'!$J$6/12*'Staff P&amp;L'!$T$6+'Staff P&amp;L'!$J$7/12*'Staff P&amp;L'!$T$7+'Staff P&amp;L'!$J$8/12*'Staff P&amp;L'!$T$8+'Staff P&amp;L'!$J$9/12*'Staff P&amp;L'!$T$9+'Staff P&amp;L'!$J$11/12*'Staff P&amp;L'!$T$11</f>
        <v>2865.48541666667</v>
      </c>
      <c r="N18" s="52" t="n">
        <f aca="false">SUM(B18:M18)</f>
        <v>34385.825</v>
      </c>
      <c r="P18" s="53" t="s">
        <v>237</v>
      </c>
    </row>
    <row r="19" customFormat="false" ht="15" hidden="false" customHeight="false" outlineLevel="0" collapsed="false">
      <c r="A19" s="9" t="s">
        <v>238</v>
      </c>
      <c r="B19" s="54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C19" s="54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D19" s="54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E19" s="54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F19" s="54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G19" s="54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H19" s="54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I19" s="54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J19" s="54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K19" s="54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L19" s="54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M19" s="54" t="n">
        <f aca="false">'Staff P&amp;L'!$K$6*'Staff P&amp;L'!$T$6+'Staff P&amp;L'!$K$7*'Staff P&amp;L'!$T$7+'Staff P&amp;L'!$K$8*'Staff P&amp;L'!$T$8+'Staff P&amp;L'!$K$9*'Staff P&amp;L'!$T$9+'Staff P&amp;L'!$K$11*'Staff P&amp;L'!$T$11</f>
        <v>2920</v>
      </c>
      <c r="N19" s="52" t="n">
        <f aca="false">SUM(B19:M19)</f>
        <v>35040</v>
      </c>
      <c r="P19" s="53" t="s">
        <v>239</v>
      </c>
    </row>
    <row r="20" customFormat="false" ht="15" hidden="false" customHeight="false" outlineLevel="0" collapsed="false">
      <c r="A20" s="55" t="s">
        <v>240</v>
      </c>
      <c r="B20" s="56" t="n">
        <f aca="false">B15+B16+B17+B18+B19</f>
        <v>42439.6520833333</v>
      </c>
      <c r="C20" s="56" t="n">
        <f aca="false">C15+C16+C17+C18+C19</f>
        <v>42439.6520833333</v>
      </c>
      <c r="D20" s="56" t="n">
        <f aca="false">D15+D16+D17+D18+D19</f>
        <v>42439.6520833333</v>
      </c>
      <c r="E20" s="56" t="n">
        <f aca="false">E15+E16+E17+E18+E19</f>
        <v>42439.6520833333</v>
      </c>
      <c r="F20" s="56" t="n">
        <f aca="false">F15+F16+F17+F18+F19</f>
        <v>42439.6520833333</v>
      </c>
      <c r="G20" s="56" t="n">
        <f aca="false">G15+G16+G17+G18+G19</f>
        <v>42439.6520833333</v>
      </c>
      <c r="H20" s="56" t="n">
        <f aca="false">H15+H16+H17+H18+H19</f>
        <v>42439.6520833333</v>
      </c>
      <c r="I20" s="56" t="n">
        <f aca="false">I15+I16+I17+I18+I19</f>
        <v>42439.6520833333</v>
      </c>
      <c r="J20" s="56" t="n">
        <f aca="false">J15+J16+J17+J18+J19</f>
        <v>42439.6520833333</v>
      </c>
      <c r="K20" s="56" t="n">
        <f aca="false">K15+K16+K17+K18+K19</f>
        <v>42439.6520833333</v>
      </c>
      <c r="L20" s="56" t="n">
        <f aca="false">L15+L16+L17+L18+L19</f>
        <v>42439.6520833333</v>
      </c>
      <c r="M20" s="56" t="n">
        <f aca="false">M15+M16+M17+M18+M19</f>
        <v>42439.6520833333</v>
      </c>
      <c r="N20" s="56" t="n">
        <f aca="false">N15+N16+N17+N18+N19</f>
        <v>509275.825</v>
      </c>
    </row>
    <row r="21" customFormat="false" ht="15" hidden="false" customHeight="false" outlineLevel="0" collapsed="false">
      <c r="A21" s="55" t="s">
        <v>241</v>
      </c>
      <c r="B21" s="56" t="n">
        <f aca="false">B12+B13+B20</f>
        <v>46360.8320833333</v>
      </c>
      <c r="C21" s="56" t="n">
        <f aca="false">C12+C13+C20</f>
        <v>46360.8320833333</v>
      </c>
      <c r="D21" s="56" t="n">
        <f aca="false">D12+D13+D20</f>
        <v>46360.8320833333</v>
      </c>
      <c r="E21" s="56" t="n">
        <f aca="false">E12+E13+E20</f>
        <v>46360.8320833333</v>
      </c>
      <c r="F21" s="56" t="n">
        <f aca="false">F12+F13+F20</f>
        <v>46360.8320833333</v>
      </c>
      <c r="G21" s="56" t="n">
        <f aca="false">G12+G13+G20</f>
        <v>46360.8320833333</v>
      </c>
      <c r="H21" s="56" t="n">
        <f aca="false">H12+H13+H20</f>
        <v>46360.8320833333</v>
      </c>
      <c r="I21" s="56" t="n">
        <f aca="false">I12+I13+I20</f>
        <v>46360.8320833333</v>
      </c>
      <c r="J21" s="56" t="n">
        <f aca="false">J12+J13+J20</f>
        <v>46360.8320833333</v>
      </c>
      <c r="K21" s="56" t="n">
        <f aca="false">K12+K13+K20</f>
        <v>46360.8320833333</v>
      </c>
      <c r="L21" s="56" t="n">
        <f aca="false">L12+L13+L20</f>
        <v>46360.8320833333</v>
      </c>
      <c r="M21" s="56" t="n">
        <f aca="false">M12+M13+M20</f>
        <v>46360.8320833333</v>
      </c>
      <c r="N21" s="56" t="n">
        <f aca="false">N12+N13+N20</f>
        <v>556329.985</v>
      </c>
    </row>
    <row r="22" customFormat="false" ht="15" hidden="false" customHeight="false" outlineLevel="0" collapsed="false">
      <c r="A22" s="57" t="s">
        <v>242</v>
      </c>
      <c r="B22" s="47" t="n">
        <f aca="false">B10-B21</f>
        <v>33884.4456944444</v>
      </c>
      <c r="C22" s="47" t="n">
        <f aca="false">C10-C21</f>
        <v>33884.4456944444</v>
      </c>
      <c r="D22" s="47" t="n">
        <f aca="false">D10-D21</f>
        <v>33884.4456944444</v>
      </c>
      <c r="E22" s="47" t="n">
        <f aca="false">E10-E21</f>
        <v>33884.4456944444</v>
      </c>
      <c r="F22" s="47" t="n">
        <f aca="false">F10-F21</f>
        <v>33884.4456944444</v>
      </c>
      <c r="G22" s="47" t="n">
        <f aca="false">G10-G21</f>
        <v>33884.4456944444</v>
      </c>
      <c r="H22" s="47" t="n">
        <f aca="false">H10-H21</f>
        <v>33884.4456944444</v>
      </c>
      <c r="I22" s="47" t="n">
        <f aca="false">I10-I21</f>
        <v>33884.4456944444</v>
      </c>
      <c r="J22" s="47" t="n">
        <f aca="false">J10-J21</f>
        <v>33884.4456944444</v>
      </c>
      <c r="K22" s="47" t="n">
        <f aca="false">K10-K21</f>
        <v>33884.4456944444</v>
      </c>
      <c r="L22" s="47" t="n">
        <f aca="false">L10-L21</f>
        <v>33884.4456944444</v>
      </c>
      <c r="M22" s="47" t="n">
        <f aca="false">M10-M21</f>
        <v>33884.4456944444</v>
      </c>
      <c r="N22" s="47" t="n">
        <f aca="false">N10-N21</f>
        <v>406613.348333333</v>
      </c>
    </row>
    <row r="23" customFormat="false" ht="15" hidden="false" customHeight="false" outlineLevel="0" collapsed="false">
      <c r="A23" s="4" t="s">
        <v>243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</row>
    <row r="24" customFormat="false" ht="15" hidden="false" customHeight="false" outlineLevel="0" collapsed="false">
      <c r="A24" s="9" t="s">
        <v>244</v>
      </c>
      <c r="B24" s="54" t="n">
        <f aca="false">'Staff P&amp;L'!$E$6/12*(1-'Staff P&amp;L'!$T$6)</f>
        <v>7687.5</v>
      </c>
      <c r="C24" s="54" t="n">
        <f aca="false">'Staff P&amp;L'!$E$6/12*(1-'Staff P&amp;L'!$T$6)</f>
        <v>7687.5</v>
      </c>
      <c r="D24" s="54" t="n">
        <f aca="false">'Staff P&amp;L'!$E$6/12*(1-'Staff P&amp;L'!$T$6)</f>
        <v>7687.5</v>
      </c>
      <c r="E24" s="54" t="n">
        <f aca="false">'Staff P&amp;L'!$E$6/12*(1-'Staff P&amp;L'!$T$6)</f>
        <v>7687.5</v>
      </c>
      <c r="F24" s="54" t="n">
        <f aca="false">'Staff P&amp;L'!$E$6/12*(1-'Staff P&amp;L'!$T$6)</f>
        <v>7687.5</v>
      </c>
      <c r="G24" s="54" t="n">
        <f aca="false">'Staff P&amp;L'!$E$6/12*(1-'Staff P&amp;L'!$T$6)</f>
        <v>7687.5</v>
      </c>
      <c r="H24" s="54" t="n">
        <f aca="false">'Staff P&amp;L'!$E$6/12*(1-'Staff P&amp;L'!$T$6)</f>
        <v>7687.5</v>
      </c>
      <c r="I24" s="54" t="n">
        <f aca="false">'Staff P&amp;L'!$E$6/12*(1-'Staff P&amp;L'!$T$6)</f>
        <v>7687.5</v>
      </c>
      <c r="J24" s="54" t="n">
        <f aca="false">'Staff P&amp;L'!$E$6/12*(1-'Staff P&amp;L'!$T$6)</f>
        <v>7687.5</v>
      </c>
      <c r="K24" s="54" t="n">
        <f aca="false">'Staff P&amp;L'!$E$6/12*(1-'Staff P&amp;L'!$T$6)</f>
        <v>7687.5</v>
      </c>
      <c r="L24" s="54" t="n">
        <f aca="false">'Staff P&amp;L'!$E$6/12*(1-'Staff P&amp;L'!$T$6)</f>
        <v>7687.5</v>
      </c>
      <c r="M24" s="54" t="n">
        <f aca="false">'Staff P&amp;L'!$E$6/12*(1-'Staff P&amp;L'!$T$6)</f>
        <v>7687.5</v>
      </c>
      <c r="N24" s="52" t="n">
        <f aca="false">SUM(B24:M24)</f>
        <v>92250</v>
      </c>
      <c r="P24" s="53" t="s">
        <v>245</v>
      </c>
    </row>
    <row r="25" customFormat="false" ht="15" hidden="false" customHeight="false" outlineLevel="0" collapsed="false">
      <c r="A25" s="9" t="s">
        <v>246</v>
      </c>
      <c r="B25" s="54" t="n">
        <f aca="false">'Staff P&amp;L'!$E$11/12*(1-'Staff P&amp;L'!$T$11)</f>
        <v>5666.66666666667</v>
      </c>
      <c r="C25" s="54" t="n">
        <f aca="false">'Staff P&amp;L'!$E$11/12*(1-'Staff P&amp;L'!$T$11)</f>
        <v>5666.66666666667</v>
      </c>
      <c r="D25" s="54" t="n">
        <f aca="false">'Staff P&amp;L'!$E$11/12*(1-'Staff P&amp;L'!$T$11)</f>
        <v>5666.66666666667</v>
      </c>
      <c r="E25" s="54" t="n">
        <f aca="false">'Staff P&amp;L'!$E$11/12*(1-'Staff P&amp;L'!$T$11)</f>
        <v>5666.66666666667</v>
      </c>
      <c r="F25" s="54" t="n">
        <f aca="false">'Staff P&amp;L'!$E$11/12*(1-'Staff P&amp;L'!$T$11)</f>
        <v>5666.66666666667</v>
      </c>
      <c r="G25" s="54" t="n">
        <f aca="false">'Staff P&amp;L'!$E$11/12*(1-'Staff P&amp;L'!$T$11)</f>
        <v>5666.66666666667</v>
      </c>
      <c r="H25" s="54" t="n">
        <f aca="false">'Staff P&amp;L'!$E$11/12*(1-'Staff P&amp;L'!$T$11)</f>
        <v>5666.66666666667</v>
      </c>
      <c r="I25" s="54" t="n">
        <f aca="false">'Staff P&amp;L'!$E$11/12*(1-'Staff P&amp;L'!$T$11)</f>
        <v>5666.66666666667</v>
      </c>
      <c r="J25" s="54" t="n">
        <f aca="false">'Staff P&amp;L'!$E$11/12*(1-'Staff P&amp;L'!$T$11)</f>
        <v>5666.66666666667</v>
      </c>
      <c r="K25" s="54" t="n">
        <f aca="false">'Staff P&amp;L'!$E$11/12*(1-'Staff P&amp;L'!$T$11)</f>
        <v>5666.66666666667</v>
      </c>
      <c r="L25" s="54" t="n">
        <f aca="false">'Staff P&amp;L'!$E$11/12*(1-'Staff P&amp;L'!$T$11)</f>
        <v>5666.66666666667</v>
      </c>
      <c r="M25" s="54" t="n">
        <f aca="false">'Staff P&amp;L'!$E$11/12*(1-'Staff P&amp;L'!$T$11)</f>
        <v>5666.66666666667</v>
      </c>
      <c r="N25" s="52" t="n">
        <f aca="false">SUM(B25:M25)</f>
        <v>68000</v>
      </c>
      <c r="P25" s="53" t="s">
        <v>247</v>
      </c>
    </row>
    <row r="26" customFormat="false" ht="15" hidden="false" customHeight="false" outlineLevel="0" collapsed="false">
      <c r="A26" s="9" t="s">
        <v>248</v>
      </c>
      <c r="B26" s="54" t="n">
        <f aca="false">'Staff P&amp;L'!$J$6/12*(1-'Staff P&amp;L'!$T$6)+'Staff P&amp;L'!$J$11/12*(1-'Staff P&amp;L'!$T$11)</f>
        <v>1044.31875</v>
      </c>
      <c r="C26" s="54" t="n">
        <f aca="false">'Staff P&amp;L'!$J$6/12*(1-'Staff P&amp;L'!$T$6)+'Staff P&amp;L'!$J$11/12*(1-'Staff P&amp;L'!$T$11)</f>
        <v>1044.31875</v>
      </c>
      <c r="D26" s="54" t="n">
        <f aca="false">'Staff P&amp;L'!$J$6/12*(1-'Staff P&amp;L'!$T$6)+'Staff P&amp;L'!$J$11/12*(1-'Staff P&amp;L'!$T$11)</f>
        <v>1044.31875</v>
      </c>
      <c r="E26" s="54" t="n">
        <f aca="false">'Staff P&amp;L'!$J$6/12*(1-'Staff P&amp;L'!$T$6)+'Staff P&amp;L'!$J$11/12*(1-'Staff P&amp;L'!$T$11)</f>
        <v>1044.31875</v>
      </c>
      <c r="F26" s="54" t="n">
        <f aca="false">'Staff P&amp;L'!$J$6/12*(1-'Staff P&amp;L'!$T$6)+'Staff P&amp;L'!$J$11/12*(1-'Staff P&amp;L'!$T$11)</f>
        <v>1044.31875</v>
      </c>
      <c r="G26" s="54" t="n">
        <f aca="false">'Staff P&amp;L'!$J$6/12*(1-'Staff P&amp;L'!$T$6)+'Staff P&amp;L'!$J$11/12*(1-'Staff P&amp;L'!$T$11)</f>
        <v>1044.31875</v>
      </c>
      <c r="H26" s="54" t="n">
        <f aca="false">'Staff P&amp;L'!$J$6/12*(1-'Staff P&amp;L'!$T$6)+'Staff P&amp;L'!$J$11/12*(1-'Staff P&amp;L'!$T$11)</f>
        <v>1044.31875</v>
      </c>
      <c r="I26" s="54" t="n">
        <f aca="false">'Staff P&amp;L'!$J$6/12*(1-'Staff P&amp;L'!$T$6)+'Staff P&amp;L'!$J$11/12*(1-'Staff P&amp;L'!$T$11)</f>
        <v>1044.31875</v>
      </c>
      <c r="J26" s="54" t="n">
        <f aca="false">'Staff P&amp;L'!$J$6/12*(1-'Staff P&amp;L'!$T$6)+'Staff P&amp;L'!$J$11/12*(1-'Staff P&amp;L'!$T$11)</f>
        <v>1044.31875</v>
      </c>
      <c r="K26" s="54" t="n">
        <f aca="false">'Staff P&amp;L'!$J$6/12*(1-'Staff P&amp;L'!$T$6)+'Staff P&amp;L'!$J$11/12*(1-'Staff P&amp;L'!$T$11)</f>
        <v>1044.31875</v>
      </c>
      <c r="L26" s="54" t="n">
        <f aca="false">'Staff P&amp;L'!$J$6/12*(1-'Staff P&amp;L'!$T$6)+'Staff P&amp;L'!$J$11/12*(1-'Staff P&amp;L'!$T$11)</f>
        <v>1044.31875</v>
      </c>
      <c r="M26" s="54" t="n">
        <f aca="false">'Staff P&amp;L'!$J$6/12*(1-'Staff P&amp;L'!$T$6)+'Staff P&amp;L'!$J$11/12*(1-'Staff P&amp;L'!$T$11)</f>
        <v>1044.31875</v>
      </c>
      <c r="N26" s="52" t="n">
        <f aca="false">SUM(B26:M26)</f>
        <v>12531.825</v>
      </c>
    </row>
    <row r="27" customFormat="false" ht="15" hidden="false" customHeight="false" outlineLevel="0" collapsed="false">
      <c r="A27" s="9" t="s">
        <v>249</v>
      </c>
      <c r="B27" s="54" t="n">
        <f aca="false">'Staff P&amp;L'!$K$6*(1-'Staff P&amp;L'!$T$6)+'Staff P&amp;L'!$K$11*(1-'Staff P&amp;L'!$T$11)</f>
        <v>1080</v>
      </c>
      <c r="C27" s="54" t="n">
        <f aca="false">'Staff P&amp;L'!$K$6*(1-'Staff P&amp;L'!$T$6)+'Staff P&amp;L'!$K$11*(1-'Staff P&amp;L'!$T$11)</f>
        <v>1080</v>
      </c>
      <c r="D27" s="54" t="n">
        <f aca="false">'Staff P&amp;L'!$K$6*(1-'Staff P&amp;L'!$T$6)+'Staff P&amp;L'!$K$11*(1-'Staff P&amp;L'!$T$11)</f>
        <v>1080</v>
      </c>
      <c r="E27" s="54" t="n">
        <f aca="false">'Staff P&amp;L'!$K$6*(1-'Staff P&amp;L'!$T$6)+'Staff P&amp;L'!$K$11*(1-'Staff P&amp;L'!$T$11)</f>
        <v>1080</v>
      </c>
      <c r="F27" s="54" t="n">
        <f aca="false">'Staff P&amp;L'!$K$6*(1-'Staff P&amp;L'!$T$6)+'Staff P&amp;L'!$K$11*(1-'Staff P&amp;L'!$T$11)</f>
        <v>1080</v>
      </c>
      <c r="G27" s="54" t="n">
        <f aca="false">'Staff P&amp;L'!$K$6*(1-'Staff P&amp;L'!$T$6)+'Staff P&amp;L'!$K$11*(1-'Staff P&amp;L'!$T$11)</f>
        <v>1080</v>
      </c>
      <c r="H27" s="54" t="n">
        <f aca="false">'Staff P&amp;L'!$K$6*(1-'Staff P&amp;L'!$T$6)+'Staff P&amp;L'!$K$11*(1-'Staff P&amp;L'!$T$11)</f>
        <v>1080</v>
      </c>
      <c r="I27" s="54" t="n">
        <f aca="false">'Staff P&amp;L'!$K$6*(1-'Staff P&amp;L'!$T$6)+'Staff P&amp;L'!$K$11*(1-'Staff P&amp;L'!$T$11)</f>
        <v>1080</v>
      </c>
      <c r="J27" s="54" t="n">
        <f aca="false">'Staff P&amp;L'!$K$6*(1-'Staff P&amp;L'!$T$6)+'Staff P&amp;L'!$K$11*(1-'Staff P&amp;L'!$T$11)</f>
        <v>1080</v>
      </c>
      <c r="K27" s="54" t="n">
        <f aca="false">'Staff P&amp;L'!$K$6*(1-'Staff P&amp;L'!$T$6)+'Staff P&amp;L'!$K$11*(1-'Staff P&amp;L'!$T$11)</f>
        <v>1080</v>
      </c>
      <c r="L27" s="54" t="n">
        <f aca="false">'Staff P&amp;L'!$K$6*(1-'Staff P&amp;L'!$T$6)+'Staff P&amp;L'!$K$11*(1-'Staff P&amp;L'!$T$11)</f>
        <v>1080</v>
      </c>
      <c r="M27" s="54" t="n">
        <f aca="false">'Staff P&amp;L'!$K$6*(1-'Staff P&amp;L'!$T$6)+'Staff P&amp;L'!$K$11*(1-'Staff P&amp;L'!$T$11)</f>
        <v>1080</v>
      </c>
      <c r="N27" s="52" t="n">
        <f aca="false">SUM(B27:M27)</f>
        <v>12960</v>
      </c>
    </row>
    <row r="28" customFormat="false" ht="15" hidden="false" customHeight="false" outlineLevel="0" collapsed="false">
      <c r="A28" s="9" t="s">
        <v>250</v>
      </c>
      <c r="B28" s="30" t="n">
        <v>56.33</v>
      </c>
      <c r="C28" s="30" t="n">
        <v>56.33</v>
      </c>
      <c r="D28" s="30" t="n">
        <v>56.33</v>
      </c>
      <c r="E28" s="30" t="n">
        <v>56.33</v>
      </c>
      <c r="F28" s="30" t="n">
        <v>56.33</v>
      </c>
      <c r="G28" s="30" t="n">
        <v>56.33</v>
      </c>
      <c r="H28" s="30" t="n">
        <v>56.33</v>
      </c>
      <c r="I28" s="30" t="n">
        <v>56.33</v>
      </c>
      <c r="J28" s="30" t="n">
        <v>56.33</v>
      </c>
      <c r="K28" s="30" t="n">
        <v>56.33</v>
      </c>
      <c r="L28" s="30" t="n">
        <v>56.33</v>
      </c>
      <c r="M28" s="30" t="n">
        <v>56.33</v>
      </c>
      <c r="N28" s="52" t="n">
        <f aca="false">SUM(B28:M28)</f>
        <v>675.96</v>
      </c>
      <c r="P28" s="53" t="s">
        <v>251</v>
      </c>
    </row>
    <row r="29" customFormat="false" ht="15" hidden="false" customHeight="false" outlineLevel="0" collapsed="false">
      <c r="A29" s="9" t="s">
        <v>252</v>
      </c>
      <c r="B29" s="30" t="n">
        <v>35.42</v>
      </c>
      <c r="C29" s="30" t="n">
        <v>35.42</v>
      </c>
      <c r="D29" s="30" t="n">
        <v>35.42</v>
      </c>
      <c r="E29" s="30" t="n">
        <v>35.42</v>
      </c>
      <c r="F29" s="30" t="n">
        <v>35.42</v>
      </c>
      <c r="G29" s="30" t="n">
        <v>35.42</v>
      </c>
      <c r="H29" s="30" t="n">
        <v>35.42</v>
      </c>
      <c r="I29" s="30" t="n">
        <v>35.42</v>
      </c>
      <c r="J29" s="30" t="n">
        <v>35.42</v>
      </c>
      <c r="K29" s="30" t="n">
        <v>35.42</v>
      </c>
      <c r="L29" s="30" t="n">
        <v>35.42</v>
      </c>
      <c r="M29" s="30" t="n">
        <v>35.42</v>
      </c>
      <c r="N29" s="52" t="n">
        <f aca="false">SUM(B29:M29)</f>
        <v>425.04</v>
      </c>
      <c r="P29" s="53" t="s">
        <v>251</v>
      </c>
    </row>
    <row r="30" customFormat="false" ht="15" hidden="false" customHeight="false" outlineLevel="0" collapsed="false">
      <c r="A30" s="9" t="s">
        <v>253</v>
      </c>
      <c r="B30" s="30" t="n">
        <v>118</v>
      </c>
      <c r="C30" s="30" t="n">
        <v>118</v>
      </c>
      <c r="D30" s="30" t="n">
        <v>118</v>
      </c>
      <c r="E30" s="30" t="n">
        <v>118</v>
      </c>
      <c r="F30" s="30" t="n">
        <v>118</v>
      </c>
      <c r="G30" s="30" t="n">
        <v>118</v>
      </c>
      <c r="H30" s="30" t="n">
        <v>118</v>
      </c>
      <c r="I30" s="30" t="n">
        <v>118</v>
      </c>
      <c r="J30" s="30" t="n">
        <v>118</v>
      </c>
      <c r="K30" s="30" t="n">
        <v>118</v>
      </c>
      <c r="L30" s="30" t="n">
        <v>118</v>
      </c>
      <c r="M30" s="30" t="n">
        <v>118</v>
      </c>
      <c r="N30" s="52" t="n">
        <f aca="false">SUM(B30:M30)</f>
        <v>1416</v>
      </c>
      <c r="P30" s="53" t="s">
        <v>251</v>
      </c>
    </row>
    <row r="31" customFormat="false" ht="15" hidden="false" customHeight="false" outlineLevel="0" collapsed="false">
      <c r="A31" s="9" t="s">
        <v>254</v>
      </c>
      <c r="B31" s="30" t="n">
        <v>171.66</v>
      </c>
      <c r="C31" s="30" t="n">
        <v>171.66</v>
      </c>
      <c r="D31" s="30" t="n">
        <v>171.66</v>
      </c>
      <c r="E31" s="30" t="n">
        <v>171.66</v>
      </c>
      <c r="F31" s="30" t="n">
        <v>171.66</v>
      </c>
      <c r="G31" s="30" t="n">
        <v>171.66</v>
      </c>
      <c r="H31" s="30" t="n">
        <v>171.66</v>
      </c>
      <c r="I31" s="30" t="n">
        <v>171.66</v>
      </c>
      <c r="J31" s="30" t="n">
        <v>171.66</v>
      </c>
      <c r="K31" s="30" t="n">
        <v>171.66</v>
      </c>
      <c r="L31" s="30" t="n">
        <v>171.66</v>
      </c>
      <c r="M31" s="30" t="n">
        <v>171.66</v>
      </c>
      <c r="N31" s="52" t="n">
        <f aca="false">SUM(B31:M31)</f>
        <v>2059.92</v>
      </c>
      <c r="P31" s="53" t="s">
        <v>251</v>
      </c>
    </row>
    <row r="32" customFormat="false" ht="15" hidden="false" customHeight="false" outlineLevel="0" collapsed="false">
      <c r="A32" s="9" t="s">
        <v>255</v>
      </c>
      <c r="B32" s="30" t="n">
        <v>1813.98</v>
      </c>
      <c r="C32" s="30" t="n">
        <v>1813.98</v>
      </c>
      <c r="D32" s="30" t="n">
        <v>1813.98</v>
      </c>
      <c r="E32" s="30" t="n">
        <v>1813.98</v>
      </c>
      <c r="F32" s="30" t="n">
        <v>1813.98</v>
      </c>
      <c r="G32" s="30" t="n">
        <v>1813.98</v>
      </c>
      <c r="H32" s="30" t="n">
        <v>1813.98</v>
      </c>
      <c r="I32" s="30" t="n">
        <v>1813.98</v>
      </c>
      <c r="J32" s="30" t="n">
        <v>1813.98</v>
      </c>
      <c r="K32" s="30" t="n">
        <v>1813.98</v>
      </c>
      <c r="L32" s="30" t="n">
        <v>1813.98</v>
      </c>
      <c r="M32" s="30" t="n">
        <v>1813.98</v>
      </c>
      <c r="N32" s="52" t="n">
        <f aca="false">SUM(B32:M32)</f>
        <v>21767.76</v>
      </c>
      <c r="P32" s="53" t="s">
        <v>251</v>
      </c>
    </row>
    <row r="33" customFormat="false" ht="15" hidden="false" customHeight="false" outlineLevel="0" collapsed="false">
      <c r="A33" s="9" t="s">
        <v>256</v>
      </c>
      <c r="B33" s="30" t="n">
        <v>420.88</v>
      </c>
      <c r="C33" s="30" t="n">
        <v>420.88</v>
      </c>
      <c r="D33" s="30" t="n">
        <v>420.88</v>
      </c>
      <c r="E33" s="30" t="n">
        <v>420.88</v>
      </c>
      <c r="F33" s="30" t="n">
        <v>420.88</v>
      </c>
      <c r="G33" s="30" t="n">
        <v>420.88</v>
      </c>
      <c r="H33" s="30" t="n">
        <v>420.88</v>
      </c>
      <c r="I33" s="30" t="n">
        <v>420.88</v>
      </c>
      <c r="J33" s="30" t="n">
        <v>420.88</v>
      </c>
      <c r="K33" s="30" t="n">
        <v>420.88</v>
      </c>
      <c r="L33" s="30" t="n">
        <v>420.88</v>
      </c>
      <c r="M33" s="30" t="n">
        <v>420.88</v>
      </c>
      <c r="N33" s="52" t="n">
        <f aca="false">SUM(B33:M33)</f>
        <v>5050.56</v>
      </c>
      <c r="P33" s="53" t="s">
        <v>251</v>
      </c>
    </row>
    <row r="34" customFormat="false" ht="15" hidden="false" customHeight="false" outlineLevel="0" collapsed="false">
      <c r="A34" s="9" t="s">
        <v>257</v>
      </c>
      <c r="B34" s="30" t="n">
        <v>2408.73</v>
      </c>
      <c r="C34" s="30" t="n">
        <v>2408.73</v>
      </c>
      <c r="D34" s="30" t="n">
        <v>2408.73</v>
      </c>
      <c r="E34" s="30" t="n">
        <v>2408.73</v>
      </c>
      <c r="F34" s="30" t="n">
        <v>2408.73</v>
      </c>
      <c r="G34" s="30" t="n">
        <v>2408.73</v>
      </c>
      <c r="H34" s="30" t="n">
        <v>2408.73</v>
      </c>
      <c r="I34" s="30" t="n">
        <v>2408.73</v>
      </c>
      <c r="J34" s="30" t="n">
        <v>2408.73</v>
      </c>
      <c r="K34" s="30" t="n">
        <v>2408.73</v>
      </c>
      <c r="L34" s="30" t="n">
        <v>2408.73</v>
      </c>
      <c r="M34" s="30" t="n">
        <v>2408.73</v>
      </c>
      <c r="N34" s="52" t="n">
        <f aca="false">SUM(B34:M34)</f>
        <v>28904.76</v>
      </c>
      <c r="P34" s="53" t="s">
        <v>251</v>
      </c>
    </row>
    <row r="35" customFormat="false" ht="15" hidden="false" customHeight="false" outlineLevel="0" collapsed="false">
      <c r="A35" s="9" t="s">
        <v>258</v>
      </c>
      <c r="B35" s="30" t="n">
        <v>224.18</v>
      </c>
      <c r="C35" s="30" t="n">
        <v>224.18</v>
      </c>
      <c r="D35" s="30" t="n">
        <v>224.18</v>
      </c>
      <c r="E35" s="30" t="n">
        <v>224.18</v>
      </c>
      <c r="F35" s="30" t="n">
        <v>224.18</v>
      </c>
      <c r="G35" s="30" t="n">
        <v>224.18</v>
      </c>
      <c r="H35" s="30" t="n">
        <v>224.18</v>
      </c>
      <c r="I35" s="30" t="n">
        <v>224.18</v>
      </c>
      <c r="J35" s="30" t="n">
        <v>224.18</v>
      </c>
      <c r="K35" s="30" t="n">
        <v>224.18</v>
      </c>
      <c r="L35" s="30" t="n">
        <v>224.18</v>
      </c>
      <c r="M35" s="30" t="n">
        <v>224.18</v>
      </c>
      <c r="N35" s="52" t="n">
        <f aca="false">SUM(B35:M35)</f>
        <v>2690.16</v>
      </c>
      <c r="P35" s="53" t="s">
        <v>251</v>
      </c>
    </row>
    <row r="36" customFormat="false" ht="15" hidden="false" customHeight="false" outlineLevel="0" collapsed="false">
      <c r="A36" s="9" t="s">
        <v>259</v>
      </c>
      <c r="B36" s="30" t="n">
        <v>11.22</v>
      </c>
      <c r="C36" s="30" t="n">
        <v>11.22</v>
      </c>
      <c r="D36" s="30" t="n">
        <v>11.22</v>
      </c>
      <c r="E36" s="30" t="n">
        <v>11.22</v>
      </c>
      <c r="F36" s="30" t="n">
        <v>11.22</v>
      </c>
      <c r="G36" s="30" t="n">
        <v>11.22</v>
      </c>
      <c r="H36" s="30" t="n">
        <v>11.22</v>
      </c>
      <c r="I36" s="30" t="n">
        <v>11.22</v>
      </c>
      <c r="J36" s="30" t="n">
        <v>11.22</v>
      </c>
      <c r="K36" s="30" t="n">
        <v>11.22</v>
      </c>
      <c r="L36" s="30" t="n">
        <v>11.22</v>
      </c>
      <c r="M36" s="30" t="n">
        <v>11.22</v>
      </c>
      <c r="N36" s="52" t="n">
        <f aca="false">SUM(B36:M36)</f>
        <v>134.64</v>
      </c>
      <c r="P36" s="53" t="s">
        <v>251</v>
      </c>
    </row>
    <row r="37" customFormat="false" ht="15" hidden="false" customHeight="false" outlineLevel="0" collapsed="false">
      <c r="A37" s="9" t="s">
        <v>260</v>
      </c>
      <c r="B37" s="30" t="n">
        <v>1200</v>
      </c>
      <c r="C37" s="30" t="n">
        <v>1200</v>
      </c>
      <c r="D37" s="30" t="n">
        <v>1200</v>
      </c>
      <c r="E37" s="30" t="n">
        <v>1200</v>
      </c>
      <c r="F37" s="30" t="n">
        <v>1200</v>
      </c>
      <c r="G37" s="30" t="n">
        <v>1200</v>
      </c>
      <c r="H37" s="30" t="n">
        <v>1200</v>
      </c>
      <c r="I37" s="30" t="n">
        <v>1200</v>
      </c>
      <c r="J37" s="30" t="n">
        <v>1200</v>
      </c>
      <c r="K37" s="30" t="n">
        <v>1200</v>
      </c>
      <c r="L37" s="30" t="n">
        <v>1200</v>
      </c>
      <c r="M37" s="30" t="n">
        <v>1200</v>
      </c>
      <c r="N37" s="52" t="n">
        <f aca="false">SUM(B37:M37)</f>
        <v>14400</v>
      </c>
      <c r="P37" s="53" t="s">
        <v>251</v>
      </c>
    </row>
    <row r="38" customFormat="false" ht="15" hidden="false" customHeight="false" outlineLevel="0" collapsed="false">
      <c r="A38" s="9" t="s">
        <v>261</v>
      </c>
      <c r="B38" s="30" t="n">
        <v>34.56</v>
      </c>
      <c r="C38" s="30" t="n">
        <v>34.56</v>
      </c>
      <c r="D38" s="30" t="n">
        <v>34.56</v>
      </c>
      <c r="E38" s="30" t="n">
        <v>34.56</v>
      </c>
      <c r="F38" s="30" t="n">
        <v>34.56</v>
      </c>
      <c r="G38" s="30" t="n">
        <v>34.56</v>
      </c>
      <c r="H38" s="30" t="n">
        <v>34.56</v>
      </c>
      <c r="I38" s="30" t="n">
        <v>34.56</v>
      </c>
      <c r="J38" s="30" t="n">
        <v>34.56</v>
      </c>
      <c r="K38" s="30" t="n">
        <v>34.56</v>
      </c>
      <c r="L38" s="30" t="n">
        <v>34.56</v>
      </c>
      <c r="M38" s="30" t="n">
        <v>34.56</v>
      </c>
      <c r="N38" s="52" t="n">
        <f aca="false">SUM(B38:M38)</f>
        <v>414.72</v>
      </c>
      <c r="P38" s="53" t="s">
        <v>251</v>
      </c>
    </row>
    <row r="39" customFormat="false" ht="15" hidden="false" customHeight="false" outlineLevel="0" collapsed="false">
      <c r="A39" s="55" t="s">
        <v>262</v>
      </c>
      <c r="B39" s="56" t="n">
        <f aca="false">B24+B25+B26+B27+B28+B29+B30+B31+B32+B33+B34+B35+B36+B37+B38</f>
        <v>21973.4454166667</v>
      </c>
      <c r="C39" s="56" t="n">
        <f aca="false">C24+C25+C26+C27+C28+C29+C30+C31+C32+C33+C34+C35+C36+C37+C38</f>
        <v>21973.4454166667</v>
      </c>
      <c r="D39" s="56" t="n">
        <f aca="false">D24+D25+D26+D27+D28+D29+D30+D31+D32+D33+D34+D35+D36+D37+D38</f>
        <v>21973.4454166667</v>
      </c>
      <c r="E39" s="56" t="n">
        <f aca="false">E24+E25+E26+E27+E28+E29+E30+E31+E32+E33+E34+E35+E36+E37+E38</f>
        <v>21973.4454166667</v>
      </c>
      <c r="F39" s="56" t="n">
        <f aca="false">F24+F25+F26+F27+F28+F29+F30+F31+F32+F33+F34+F35+F36+F37+F38</f>
        <v>21973.4454166667</v>
      </c>
      <c r="G39" s="56" t="n">
        <f aca="false">G24+G25+G26+G27+G28+G29+G30+G31+G32+G33+G34+G35+G36+G37+G38</f>
        <v>21973.4454166667</v>
      </c>
      <c r="H39" s="56" t="n">
        <f aca="false">H24+H25+H26+H27+H28+H29+H30+H31+H32+H33+H34+H35+H36+H37+H38</f>
        <v>21973.4454166667</v>
      </c>
      <c r="I39" s="56" t="n">
        <f aca="false">I24+I25+I26+I27+I28+I29+I30+I31+I32+I33+I34+I35+I36+I37+I38</f>
        <v>21973.4454166667</v>
      </c>
      <c r="J39" s="56" t="n">
        <f aca="false">J24+J25+J26+J27+J28+J29+J30+J31+J32+J33+J34+J35+J36+J37+J38</f>
        <v>21973.4454166667</v>
      </c>
      <c r="K39" s="56" t="n">
        <f aca="false">K24+K25+K26+K27+K28+K29+K30+K31+K32+K33+K34+K35+K36+K37+K38</f>
        <v>21973.4454166667</v>
      </c>
      <c r="L39" s="56" t="n">
        <f aca="false">L24+L25+L26+L27+L28+L29+L30+L31+L32+L33+L34+L35+L36+L37+L38</f>
        <v>21973.4454166667</v>
      </c>
      <c r="M39" s="56" t="n">
        <f aca="false">M24+M25+M26+M27+M28+M29+M30+M31+M32+M33+M34+M35+M36+M37+M38</f>
        <v>21973.4454166667</v>
      </c>
      <c r="N39" s="56" t="n">
        <f aca="false">N24+N25+N26+N27+N28+N29+N30+N31+N32+N33+N34+N35+N36+N37+N38</f>
        <v>263681.345</v>
      </c>
    </row>
    <row r="40" customFormat="false" ht="15" hidden="false" customHeight="false" outlineLevel="0" collapsed="false">
      <c r="A40" s="57" t="s">
        <v>263</v>
      </c>
      <c r="B40" s="47" t="n">
        <f aca="false">B22-B39</f>
        <v>11911.0002777778</v>
      </c>
      <c r="C40" s="47" t="n">
        <f aca="false">C22-C39</f>
        <v>11911.0002777778</v>
      </c>
      <c r="D40" s="47" t="n">
        <f aca="false">D22-D39</f>
        <v>11911.0002777778</v>
      </c>
      <c r="E40" s="47" t="n">
        <f aca="false">E22-E39</f>
        <v>11911.0002777778</v>
      </c>
      <c r="F40" s="47" t="n">
        <f aca="false">F22-F39</f>
        <v>11911.0002777778</v>
      </c>
      <c r="G40" s="47" t="n">
        <f aca="false">G22-G39</f>
        <v>11911.0002777778</v>
      </c>
      <c r="H40" s="47" t="n">
        <f aca="false">H22-H39</f>
        <v>11911.0002777778</v>
      </c>
      <c r="I40" s="47" t="n">
        <f aca="false">I22-I39</f>
        <v>11911.0002777778</v>
      </c>
      <c r="J40" s="47" t="n">
        <f aca="false">J22-J39</f>
        <v>11911.0002777778</v>
      </c>
      <c r="K40" s="47" t="n">
        <f aca="false">K22-K39</f>
        <v>11911.0002777778</v>
      </c>
      <c r="L40" s="47" t="n">
        <f aca="false">L22-L39</f>
        <v>11911.0002777778</v>
      </c>
      <c r="M40" s="47" t="n">
        <f aca="false">M22-M39</f>
        <v>11911.0002777778</v>
      </c>
      <c r="N40" s="47" t="n">
        <f aca="false">N22-N39</f>
        <v>142932.003333333</v>
      </c>
    </row>
    <row r="41" customFormat="false" ht="15" hidden="false" customHeight="false" outlineLevel="0" collapsed="false">
      <c r="A41" s="57" t="s">
        <v>264</v>
      </c>
      <c r="B41" s="58" t="n">
        <f aca="false">B40</f>
        <v>11911.0002777778</v>
      </c>
      <c r="C41" s="58" t="n">
        <f aca="false">C40</f>
        <v>11911.0002777778</v>
      </c>
      <c r="D41" s="58" t="n">
        <f aca="false">D40</f>
        <v>11911.0002777778</v>
      </c>
      <c r="E41" s="58" t="n">
        <f aca="false">E40</f>
        <v>11911.0002777778</v>
      </c>
      <c r="F41" s="58" t="n">
        <f aca="false">F40</f>
        <v>11911.0002777778</v>
      </c>
      <c r="G41" s="58" t="n">
        <f aca="false">G40</f>
        <v>11911.0002777778</v>
      </c>
      <c r="H41" s="58" t="n">
        <f aca="false">H40</f>
        <v>11911.0002777778</v>
      </c>
      <c r="I41" s="58" t="n">
        <f aca="false">I40</f>
        <v>11911.0002777778</v>
      </c>
      <c r="J41" s="58" t="n">
        <f aca="false">J40</f>
        <v>11911.0002777778</v>
      </c>
      <c r="K41" s="58" t="n">
        <f aca="false">K40</f>
        <v>11911.0002777778</v>
      </c>
      <c r="L41" s="58" t="n">
        <f aca="false">L40</f>
        <v>11911.0002777778</v>
      </c>
      <c r="M41" s="58" t="n">
        <f aca="false">M40</f>
        <v>11911.0002777778</v>
      </c>
      <c r="N41" s="58" t="n">
        <f aca="false">N40</f>
        <v>142932.003333333</v>
      </c>
    </row>
    <row r="44" customFormat="false" ht="15" hidden="false" customHeight="false" outlineLevel="0" collapsed="false">
      <c r="A44" s="4" t="s">
        <v>265</v>
      </c>
      <c r="B44" s="5"/>
      <c r="C44" s="5"/>
      <c r="D44" s="5"/>
      <c r="E44" s="5"/>
    </row>
    <row r="45" customFormat="false" ht="15" hidden="false" customHeight="false" outlineLevel="0" collapsed="false">
      <c r="A45" s="18" t="s">
        <v>162</v>
      </c>
      <c r="B45" s="59" t="s">
        <v>266</v>
      </c>
      <c r="C45" s="59" t="s">
        <v>267</v>
      </c>
      <c r="D45" s="59" t="s">
        <v>268</v>
      </c>
      <c r="E45" s="59" t="s">
        <v>269</v>
      </c>
    </row>
    <row r="46" customFormat="false" ht="15" hidden="false" customHeight="false" outlineLevel="0" collapsed="false">
      <c r="A46" s="60" t="str">
        <f aca="false">'Staff P&amp;L'!$A$6</f>
        <v>Steven Nikolov</v>
      </c>
      <c r="B46" s="37" t="n">
        <f aca="false">'Staff P&amp;L'!$M$6</f>
        <v>208416.25</v>
      </c>
      <c r="C46" s="37" t="n">
        <f aca="false">'Staff P&amp;L'!$N$6</f>
        <v>17368.0208333333</v>
      </c>
      <c r="D46" s="43" t="n">
        <f aca="false">'Staff P&amp;L'!$O$6</f>
        <v>124.057291666667</v>
      </c>
      <c r="E46" s="43" t="n">
        <f aca="false">'Staff P&amp;L'!$R$6</f>
        <v>249.404761904762</v>
      </c>
    </row>
    <row r="47" customFormat="false" ht="15" hidden="false" customHeight="false" outlineLevel="0" collapsed="false">
      <c r="A47" s="60" t="str">
        <f aca="false">'Staff P&amp;L'!$A$7</f>
        <v>Lisa Danforth</v>
      </c>
      <c r="B47" s="37" t="n">
        <f aca="false">'Staff P&amp;L'!$M$7</f>
        <v>199266</v>
      </c>
      <c r="C47" s="37" t="n">
        <f aca="false">'Staff P&amp;L'!$N$7</f>
        <v>16605.5</v>
      </c>
      <c r="D47" s="43" t="n">
        <f aca="false">'Staff P&amp;L'!$O$7</f>
        <v>118.610714285714</v>
      </c>
      <c r="E47" s="43" t="n">
        <f aca="false">'Staff P&amp;L'!$R$7</f>
        <v>249.404761904762</v>
      </c>
    </row>
    <row r="48" customFormat="false" ht="15" hidden="false" customHeight="false" outlineLevel="0" collapsed="false">
      <c r="A48" s="60" t="str">
        <f aca="false">'Staff P&amp;L'!$A$8</f>
        <v>Cindi Campbell</v>
      </c>
      <c r="B48" s="37" t="n">
        <f aca="false">'Staff P&amp;L'!$M$8</f>
        <v>118313.2</v>
      </c>
      <c r="C48" s="37" t="n">
        <f aca="false">'Staff P&amp;L'!$N$8</f>
        <v>9859.43333333333</v>
      </c>
      <c r="D48" s="43" t="n">
        <f aca="false">'Staff P&amp;L'!$O$8</f>
        <v>70.4245238095238</v>
      </c>
      <c r="E48" s="43" t="n">
        <f aca="false">'Staff P&amp;L'!$R$8</f>
        <v>153.214285714286</v>
      </c>
    </row>
    <row r="49" customFormat="false" ht="15" hidden="false" customHeight="false" outlineLevel="0" collapsed="false">
      <c r="A49" s="60" t="str">
        <f aca="false">'Staff P&amp;L'!$A$9</f>
        <v>Christine Johnson</v>
      </c>
      <c r="B49" s="37" t="n">
        <f aca="false">'Staff P&amp;L'!$M$9</f>
        <v>73100.2</v>
      </c>
      <c r="C49" s="37" t="n">
        <f aca="false">'Staff P&amp;L'!$N$9</f>
        <v>6091.68333333333</v>
      </c>
      <c r="D49" s="43" t="n">
        <f aca="false">'Staff P&amp;L'!$O$9</f>
        <v>43.5120238095238</v>
      </c>
      <c r="E49" s="43" t="n">
        <f aca="false">'Staff P&amp;L'!$R$9</f>
        <v>96.3095238095238</v>
      </c>
    </row>
    <row r="50" customFormat="false" ht="15" hidden="false" customHeight="false" outlineLevel="0" collapsed="false">
      <c r="A50" s="60" t="str">
        <f aca="false">'Staff P&amp;L'!$A$10</f>
        <v>Valentina Dikova</v>
      </c>
      <c r="B50" s="37" t="n">
        <f aca="false">'Staff P&amp;L'!$M$10</f>
        <v>46712.4</v>
      </c>
      <c r="C50" s="37" t="n">
        <f aca="false">'Staff P&amp;L'!$N$10</f>
        <v>3892.7</v>
      </c>
      <c r="D50" s="43" t="n">
        <f aca="false">'Staff P&amp;L'!$O$10</f>
        <v>27.805</v>
      </c>
      <c r="E50" s="43" t="n">
        <f aca="false">'Staff P&amp;L'!$R$10</f>
        <v>96.3095238095238</v>
      </c>
    </row>
    <row r="51" customFormat="false" ht="15" hidden="false" customHeight="false" outlineLevel="0" collapsed="false">
      <c r="A51" s="60" t="str">
        <f aca="false">'Staff P&amp;L'!$A$11</f>
        <v>Josephine Mack</v>
      </c>
      <c r="B51" s="37" t="n">
        <f aca="false">'Staff P&amp;L'!$M$11</f>
        <v>95922</v>
      </c>
      <c r="C51" s="37" t="n">
        <f aca="false">'Staff P&amp;L'!$N$11</f>
        <v>7993.5</v>
      </c>
      <c r="D51" s="43" t="n">
        <f aca="false">'Staff P&amp;L'!$O$11</f>
        <v>57.0964285714286</v>
      </c>
      <c r="E51" s="43" t="n">
        <f aca="false">'Staff P&amp;L'!$R$11</f>
        <v>96.3095238095238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2026-07-24T20:18:55Z</dcterms:created>
  <dc:creator>openpyxl</dc:creator>
  <dc:description/>
  <dc:language>en-US</dc:language>
  <cp:lastModifiedBy/>
  <dcterms:modified xsi:type="dcterms:W3CDTF">2026-07-24T20:18:55Z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